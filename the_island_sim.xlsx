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TABLERO" sheetId="2" state="visible" r:id="rId4"/>
    <sheet name="ACCIONES" sheetId="3" state="visible" r:id="rId5"/>
    <sheet name="REGLAS" sheetId="4" state="visible" r:id="rId6"/>
    <sheet name="TILES" sheetId="5" state="visible" r:id="rId7"/>
    <sheet name="EXPLORADORES" sheetId="6" state="visible" r:id="rId8"/>
    <sheet name="CRIATURAS" sheetId="7" state="visible" r:id="rId9"/>
    <sheet name="JUGADORES" sheetId="8" state="visible" r:id="rId10"/>
    <sheet name="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<sst xmlns="http://schemas.openxmlformats.org/spreadsheetml/2006/main" count="522" uniqueCount="229">
  <si>
    <t xml:space="preserve">THE ISLAND - Simulador de Partida</t>
  </si>
  <si>
    <t xml:space="preserve">JUGADORES ACTIVOS (2-6)</t>
  </si>
  <si>
    <t xml:space="preserve">TURNO ACTUAL</t>
  </si>
  <si>
    <t xml:space="preserve">JUGADOR ACTIVO (1-6)</t>
  </si>
  <si>
    <t xml:space="preserve">FASE (1-4)</t>
  </si>
  <si>
    <t xml:space="preserve">Cambia estos 4 valores para avanzar la partida</t>
  </si>
  <si>
    <t xml:space="preserve">Fases: 1=Jugar ficha de mano | 2=Mover exp/barcos | 3=Retirar terreno | 4=Dado y mover criatura</t>
  </si>
  <si>
    <t xml:space="preserve">METRICA</t>
  </si>
  <si>
    <t xml:space="preserve">VALOR</t>
  </si>
  <si>
    <t xml:space="preserve">FORMULA / DESCRIPCION</t>
  </si>
  <si>
    <t xml:space="preserve">Fase actual (texto)</t>
  </si>
  <si>
    <t xml:space="preserve">Texto derivado del numero de fase</t>
  </si>
  <si>
    <t xml:space="preserve">Color jugador activo</t>
  </si>
  <si>
    <t xml:space="preserve">Color asignado al indice de jugador activo</t>
  </si>
  <si>
    <t xml:space="preserve">Tiles en juego</t>
  </si>
  <si>
    <t xml:space="preserve">Tiles presentes</t>
  </si>
  <si>
    <t xml:space="preserve">Tiles removidos</t>
  </si>
  <si>
    <t xml:space="preserve">Tiles retirados</t>
  </si>
  <si>
    <t xml:space="preserve">Volcan revelado</t>
  </si>
  <si>
    <t xml:space="preserve">Fin de partida</t>
  </si>
  <si>
    <t xml:space="preserve">Exploradores en tierra</t>
  </si>
  <si>
    <t xml:space="preserve">Sobre tiles</t>
  </si>
  <si>
    <t xml:space="preserve">Exploradores nadando</t>
  </si>
  <si>
    <t xml:space="preserve">En agua</t>
  </si>
  <si>
    <t xml:space="preserve">Exploradores en barcos</t>
  </si>
  <si>
    <t xml:space="preserve">A bordo</t>
  </si>
  <si>
    <t xml:space="preserve">Exploradores salvados</t>
  </si>
  <si>
    <t xml:space="preserve">Tierra firme externa</t>
  </si>
  <si>
    <t xml:space="preserve">Exploradores eliminados</t>
  </si>
  <si>
    <t xml:space="preserve">Muertos</t>
  </si>
  <si>
    <t xml:space="preserve">JUGADOR</t>
  </si>
  <si>
    <t xml:space="preserve">ACTIVO?</t>
  </si>
  <si>
    <t xml:space="preserve">COLOR</t>
  </si>
  <si>
    <t xml:space="preserve">EXPLORADORES VIVOS</t>
  </si>
  <si>
    <t xml:space="preserve">EN TABLERO</t>
  </si>
  <si>
    <t xml:space="preserve">SALVADOS</t>
  </si>
  <si>
    <t xml:space="preserve">PUNTOS SALVADOS</t>
  </si>
  <si>
    <t xml:space="preserve">EN MANO</t>
  </si>
  <si>
    <t xml:space="preserve">Jugador 1</t>
  </si>
  <si>
    <t xml:space="preserve">Jugador 2</t>
  </si>
  <si>
    <t xml:space="preserve">Jugador 3</t>
  </si>
  <si>
    <t xml:space="preserve">Jugador 4</t>
  </si>
  <si>
    <t xml:space="preserve">Jugador 5</t>
  </si>
  <si>
    <t xml:space="preserve">Jugador 6</t>
  </si>
  <si>
    <t xml:space="preserve">TABLERO - Estado actual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</si>
  <si>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</si>
  <si>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</si>
  <si>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</si>
  <si>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</si>
  <si>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</si>
  <si>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</si>
  <si>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</si>
  <si>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</si>
  <si>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</si>
  <si>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</si>
  <si>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</si>
  <si>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</si>
  <si>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</si>
  <si>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</si>
  <si>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</si>
  <si>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</si>
  <si>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</si>
  <si>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LEYENDA</t>
  </si>
  <si>
    <t xml:space="preserve">Mar</t>
  </si>
  <si>
    <t xml:space="preserve">Playa</t>
  </si>
  <si>
    <t xml:space="preserve">Bosque</t>
  </si>
  <si>
    <t xml:space="preserve">Montana</t>
  </si>
  <si>
    <t xml:space="preserve">Serpiente</t>
  </si>
  <si>
    <t xml:space="preserve">Tiburon</t>
  </si>
  <si>
    <t xml:space="preserve">Ballena</t>
  </si>
  <si>
    <t xml:space="preserve">Remolino</t>
  </si>
  <si>
    <t xml:space="preserve">Barco</t>
  </si>
  <si>
    <t xml:space="preserve">Exp (#)</t>
  </si>
  <si>
    <t xml:space="preserve">ACCIONES DEL TURNO ACTIVO</t>
  </si>
  <si>
    <t xml:space="preserve">Jugador activo (de CONTROL)</t>
  </si>
  <si>
    <t xml:space="preserve">Turno / Fase</t>
  </si>
  <si>
    <t xml:space="preserve">FASE 1: Jugar ficha de mano (opcional)</t>
  </si>
  <si>
    <t xml:space="preserve">Campo</t>
  </si>
  <si>
    <t xml:space="preserve">Valor</t>
  </si>
  <si>
    <t xml:space="preserve">Estado</t>
  </si>
  <si>
    <t xml:space="preserve">Efecto</t>
  </si>
  <si>
    <t xml:space="preserve">Ficha a jugar</t>
  </si>
  <si>
    <t xml:space="preserve">FASE 2: Movimientos (3 puntos)</t>
  </si>
  <si>
    <t xml:space="preserve">#</t>
  </si>
  <si>
    <t xml:space="preserve">ID Exp/Barco</t>
  </si>
  <si>
    <t xml:space="preserve">Destino (F,C)</t>
  </si>
  <si>
    <t xml:space="preserve">Validacion</t>
  </si>
  <si>
    <t xml:space="preserve">FASE 3: Retirar ficha de terreno</t>
  </si>
  <si>
    <t xml:space="preserve">Info</t>
  </si>
  <si>
    <t xml:space="preserve">Accion revelada</t>
  </si>
  <si>
    <t xml:space="preserve">ID del tile (1-40)</t>
  </si>
  <si>
    <t xml:space="preserve">FASE 4: Dado y criatura</t>
  </si>
  <si>
    <t xml:space="preserve">Criatura</t>
  </si>
  <si>
    <t xml:space="preserve">Regla</t>
  </si>
  <si>
    <t xml:space="preserve">Resultado dado (1-6)</t>
  </si>
  <si>
    <t xml:space="preserve">Mover criatura 1-3 casillas mar</t>
  </si>
  <si>
    <t xml:space="preserve">ID criatura a mover</t>
  </si>
  <si>
    <t xml:space="preserve">Debe estar activa</t>
  </si>
  <si>
    <t xml:space="preserve">Solo mar vacio o victima legal</t>
  </si>
  <si>
    <t xml:space="preserve">MODELO MATEMATICO - THE ISLAND</t>
  </si>
  <si>
    <t xml:space="preserve">A. COMPONENTES</t>
  </si>
  <si>
    <t xml:space="preserve">Componente</t>
  </si>
  <si>
    <t xml:space="preserve">Cantidad</t>
  </si>
  <si>
    <t xml:space="preserve">Valor numerico</t>
  </si>
  <si>
    <t xml:space="preserve">Ubicacion inicial</t>
  </si>
  <si>
    <t xml:space="preserve">Notas</t>
  </si>
  <si>
    <t xml:space="preserve">Tablero</t>
  </si>
  <si>
    <t xml:space="preserve">7 filas x 10 cols = 70 celdas</t>
  </si>
  <si>
    <t xml:space="preserve">Fijo</t>
  </si>
  <si>
    <t xml:space="preserve">Area isla 5x8 = 40 tiles</t>
  </si>
  <si>
    <t xml:space="preserve">Fichas Playa</t>
  </si>
  <si>
    <t xml:space="preserve">Altura nivel 1</t>
  </si>
  <si>
    <t xml:space="preserve">Area isla</t>
  </si>
  <si>
    <t xml:space="preserve">Primeras en revelarse</t>
  </si>
  <si>
    <t xml:space="preserve">Fichas Bosque</t>
  </si>
  <si>
    <t xml:space="preserve">Altura nivel 2</t>
  </si>
  <si>
    <t xml:space="preserve">Despues de playas</t>
  </si>
  <si>
    <t xml:space="preserve">Fichas Montana</t>
  </si>
  <si>
    <t xml:space="preserve">Altura nivel 3</t>
  </si>
  <si>
    <t xml:space="preserve">Centro</t>
  </si>
  <si>
    <t xml:space="preserve">Ultimas; incluye Volcan</t>
  </si>
  <si>
    <t xml:space="preserve">Exploradores/color</t>
  </si>
  <si>
    <t xml:space="preserve">Valores 3x1+2x2+2x3+1x4+1x5+1x6 = 28 pts</t>
  </si>
  <si>
    <t xml:space="preserve">1 a 1 horario</t>
  </si>
  <si>
    <t xml:space="preserve">Valor oculto</t>
  </si>
  <si>
    <t xml:space="preserve">Serpientes Mar</t>
  </si>
  <si>
    <t xml:space="preserve">Criatura 1</t>
  </si>
  <si>
    <t xml:space="preserve">5 casillas fijas mar</t>
  </si>
  <si>
    <t xml:space="preserve">Solo mueve con MAN_Serpiente</t>
  </si>
  <si>
    <t xml:space="preserve">Tiburones</t>
  </si>
  <si>
    <t xml:space="preserve">Criatura 2</t>
  </si>
  <si>
    <t xml:space="preserve">Reserva</t>
  </si>
  <si>
    <t xml:space="preserve">Dado 1-2; elimina Nadadores</t>
  </si>
  <si>
    <t xml:space="preserve">Ballenas</t>
  </si>
  <si>
    <t xml:space="preserve">Criatura 3</t>
  </si>
  <si>
    <t xml:space="preserve">Dado 3-4; elimina Barcos</t>
  </si>
  <si>
    <t xml:space="preserve">Remolinos</t>
  </si>
  <si>
    <t xml:space="preserve">Evento</t>
  </si>
  <si>
    <t xml:space="preserve">Elimina casilla + adyacentes</t>
  </si>
  <si>
    <t xml:space="preserve">Barcos</t>
  </si>
  <si>
    <t xml:space="preserve">Cap 3 Nadadores</t>
  </si>
  <si>
    <t xml:space="preserve">1 jugador los carga</t>
  </si>
  <si>
    <t xml:space="preserve">Dado 6 caras</t>
  </si>
  <si>
    <t xml:space="preserve">1-6</t>
  </si>
  <si>
    <t xml:space="preserve">-</t>
  </si>
  <si>
    <t xml:space="preserve">1-2=Tib, 3-4=Ball, 5=Serp, 6=eliges</t>
  </si>
  <si>
    <t xml:space="preserve">B. ESTRUCTURA DEL TURNO</t>
  </si>
  <si>
    <t xml:space="preserve">Fase</t>
  </si>
  <si>
    <t xml:space="preserve">Nombre</t>
  </si>
  <si>
    <t xml:space="preserve">Accion</t>
  </si>
  <si>
    <t xml:space="preserve">Regla matematica</t>
  </si>
  <si>
    <t xml:space="preserve">Obligatorio</t>
  </si>
  <si>
    <t xml:space="preserve">Ficha de mano</t>
  </si>
  <si>
    <t xml:space="preserve">Jugar MAN_* guardada</t>
  </si>
  <si>
    <t xml:space="preserve">Si MANO contiene MAN_* -&gt; ejecutar efecto</t>
  </si>
  <si>
    <t xml:space="preserve">No</t>
  </si>
  <si>
    <t xml:space="preserve">Movimientos</t>
  </si>
  <si>
    <t xml:space="preserve">Hasta 3 puntos entre Exp/Barcos</t>
  </si>
  <si>
    <t xml:space="preserve">MOV=3; cada mov consume 1 punto</t>
  </si>
  <si>
    <t xml:space="preserve">Si hay opciones</t>
  </si>
  <si>
    <t xml:space="preserve">Retirar terreno</t>
  </si>
  <si>
    <t xml:space="preserve">Retirar 1 tile vacio</t>
  </si>
  <si>
    <t xml:space="preserve">Tile.estado=removido; revela accion</t>
  </si>
  <si>
    <t xml:space="preserve">Si</t>
  </si>
  <si>
    <t xml:space="preserve">Dado y criatura</t>
  </si>
  <si>
    <t xml:space="preserve">Tirar dado, mover 1-3 casillas mar</t>
  </si>
  <si>
    <t xml:space="preserve">C. CRIATURAS Y ELIMINACION</t>
  </si>
  <si>
    <t xml:space="preserve">Elimina a</t>
  </si>
  <si>
    <t xml:space="preserve">Movimiento</t>
  </si>
  <si>
    <t xml:space="preserve">Defensa</t>
  </si>
  <si>
    <t xml:space="preserve">Barco con contenido</t>
  </si>
  <si>
    <t xml:space="preserve">0 auto; 1-3 con MAN_Serpiente</t>
  </si>
  <si>
    <t xml:space="preserve">Ninguna</t>
  </si>
  <si>
    <t xml:space="preserve">Serp+Barco -&gt; Barco+pasajeros=Eliminado</t>
  </si>
  <si>
    <t xml:space="preserve">Nadadores</t>
  </si>
  <si>
    <t xml:space="preserve">1-3 (dado 1-2 o MAN_Tiburon)</t>
  </si>
  <si>
    <t xml:space="preserve">DEF_Tiburon</t>
  </si>
  <si>
    <t xml:space="preserve">Tib+Nadador -&gt; Nadador=Eliminado</t>
  </si>
  <si>
    <t xml:space="preserve">1-3 (dado 3-4 o MAN_Ballena)</t>
  </si>
  <si>
    <t xml:space="preserve">DEF_Ballena</t>
  </si>
  <si>
    <t xml:space="preserve">Ball+Barco -&gt; Barco=Eliminado; pasajeros=Nadadores</t>
  </si>
  <si>
    <t xml:space="preserve">Todo en casilla + adyacentes</t>
  </si>
  <si>
    <t xml:space="preserve">No se mueve</t>
  </si>
  <si>
    <t xml:space="preserve">Al aparecer: toda entidad en casilla/adyacente=Eliminado</t>
  </si>
  <si>
    <t xml:space="preserve">Volcan</t>
  </si>
  <si>
    <t xml:space="preserve">Juego entero</t>
  </si>
  <si>
    <t xml:space="preserve">Al revelar: Exp en Mar/Barco=Eliminado; gana mas puntos Salvados</t>
  </si>
  <si>
    <t xml:space="preserve">D. PUNTUACION</t>
  </si>
  <si>
    <t xml:space="preserve">Puntos_J = SUM(valor Exp) WHERE Exp.Jugador=J AND Exp.Estado=Salvado</t>
  </si>
  <si>
    <t xml:space="preserve">Exp.Salvado si llega a tierra firme externa fuera del area-isla</t>
  </si>
  <si>
    <t xml:space="preserve">Exp.Eliminado cuenta 0 puntos</t>
  </si>
  <si>
    <t xml:space="preserve">Ganador = argmax_J(Puntos_J); empate -&gt; mas exploradores salvados</t>
  </si>
  <si>
    <t xml:space="preserve">TILES DE TERRENO (40)</t>
  </si>
  <si>
    <t xml:space="preserve">ID</t>
  </si>
  <si>
    <t xml:space="preserve">Tipo</t>
  </si>
  <si>
    <t xml:space="preserve">Altura</t>
  </si>
  <si>
    <t xml:space="preserve">Orden retiro</t>
  </si>
  <si>
    <t xml:space="preserve">Fila</t>
  </si>
  <si>
    <t xml:space="preserve">Col</t>
  </si>
  <si>
    <t xml:space="preserve">Coord</t>
  </si>
  <si>
    <t xml:space="preserve">INM_Barco</t>
  </si>
  <si>
    <t xml:space="preserve">en juego</t>
  </si>
  <si>
    <t xml:space="preserve">INM_Volcan</t>
  </si>
  <si>
    <t xml:space="preserve">MAN_Vientos</t>
  </si>
  <si>
    <t xml:space="preserve">INM_Tiburon</t>
  </si>
  <si>
    <t xml:space="preserve">INM_Ballena</t>
  </si>
  <si>
    <t xml:space="preserve">INM_Remolino</t>
  </si>
  <si>
    <t xml:space="preserve">MAN_Delfin</t>
  </si>
  <si>
    <t xml:space="preserve">MAN_Ballena</t>
  </si>
  <si>
    <t xml:space="preserve">MAN_Serpiente</t>
  </si>
  <si>
    <t xml:space="preserve">MAN_Tiburon</t>
  </si>
  <si>
    <t xml:space="preserve">EXPLORADORES (60 fichas)</t>
  </si>
  <si>
    <t xml:space="preserve">Tierra</t>
  </si>
  <si>
    <t xml:space="preserve">CRIATURAS Y BARCOS</t>
  </si>
  <si>
    <t xml:space="preserve">Pos F</t>
  </si>
  <si>
    <t xml:space="preserve">Pos C</t>
  </si>
  <si>
    <t xml:space="preserve">Jugador Barco</t>
  </si>
  <si>
    <t xml:space="preserve">activo</t>
  </si>
  <si>
    <t xml:space="preserve">Inicio fijo</t>
  </si>
  <si>
    <t xml:space="preserve">reserva</t>
  </si>
  <si>
    <t xml:space="preserve">MANOS DE JUGADORES</t>
  </si>
  <si>
    <t xml:space="preserve">Jugador</t>
  </si>
  <si>
    <t xml:space="preserve">Slot</t>
  </si>
  <si>
    <t xml:space="preserve">Ficha</t>
  </si>
  <si>
    <t xml:space="preserve">LOG DE TURNOS</t>
  </si>
  <si>
    <t xml:space="preserve">Turno</t>
  </si>
  <si>
    <t xml:space="preserve">Color</t>
  </si>
  <si>
    <t xml:space="preserve">Resultado</t>
  </si>
  <si>
    <t xml:space="preserve">Timestamp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</si>
</sst>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A5F"/>
        <bgColor rgb="FF1E3A8A"/>
      </patternFill>
    </fill>
    <fill>
      <patternFill patternType="solid">
        <fgColor rgb="FF2E5F8A"/>
        <bgColor rgb="FF595959"/>
      </patternFill>
    </fill>
    <fill>
      <patternFill patternType="solid">
        <fgColor rgb="FFFFE699"/>
        <bgColor rgb="FFF7E4A3"/>
      </patternFill>
    </fill>
    <fill>
      <patternFill patternType="solid">
        <fgColor rgb="FFD9E1F2"/>
        <bgColor rgb="FFE8DBFF"/>
      </patternFill>
    </fill>
    <fill>
      <patternFill patternType="solid">
        <fgColor rgb="FFE2EFDA"/>
        <bgColor rgb="FFD5F0DA"/>
      </patternFill>
    </fill>
    <fill>
      <patternFill patternType="solid">
        <fgColor rgb="FF9BC2E6"/>
        <bgColor rgb="FFBFBFBF"/>
      </patternFill>
    </fill>
    <fill>
      <patternFill patternType="solid">
        <fgColor rgb="FFF7E4A3"/>
        <bgColor rgb="FFFFE699"/>
      </patternFill>
    </fill>
    <fill>
      <patternFill patternType="solid">
        <fgColor rgb="FF70AD47"/>
        <bgColor rgb="FF808080"/>
      </patternFill>
    </fill>
    <fill>
      <patternFill patternType="solid">
        <fgColor rgb="FF8FA1B3"/>
        <bgColor rgb="FF9BC2E6"/>
      </patternFill>
    </fill>
    <fill>
      <patternFill patternType="solid">
        <fgColor rgb="FF8B4789"/>
        <bgColor rgb="FF993366"/>
      </patternFill>
    </fill>
    <fill>
      <patternFill patternType="solid">
        <fgColor rgb="FF4A4A4A"/>
        <bgColor rgb="FF595959"/>
      </patternFill>
    </fill>
    <fill>
      <patternFill patternType="solid">
        <fgColor rgb="FF1E3A8A"/>
        <bgColor rgb="FF1F3A5F"/>
      </patternFill>
    </fill>
    <fill>
      <patternFill patternType="solid">
        <fgColor rgb="FF06B6D4"/>
        <bgColor rgb="FF4ECDC4"/>
      </patternFill>
    </fill>
    <fill>
      <patternFill patternType="solid">
        <fgColor rgb="FF92400E"/>
        <bgColor rgb="FF993366"/>
      </patternFill>
    </fill>
    <fill>
      <patternFill patternType="solid">
        <fgColor rgb="FFFFC000"/>
        <bgColor rgb="FFFFE66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>
          <bgColor rgb="FF9BC2E6"/>
        </patternFill>
      </fill>
    </dxf>
    <dxf>
      <fill>
        <patternFill>
          <bgColor rgb="FFF7E4A3"/>
        </patternFill>
      </fill>
    </dxf>
    <dxf>
      <font>
        <b val="1"/>
        <color rgb="FFFFFFFF"/>
      </font>
      <fill>
        <patternFill>
          <bgColor rgb="FF70AD47"/>
        </patternFill>
      </fill>
    </dxf>
    <dxf>
      <font>
        <b val="1"/>
        <color rgb="FFFFFFFF"/>
      </font>
      <fill>
        <patternFill>
          <bgColor rgb="FF8FA1B3"/>
        </patternFill>
      </fill>
    </dxf>
    <dxf>
      <font>
        <b val="1"/>
        <color rgb="FFFFFFFF"/>
      </font>
      <fill>
        <patternFill>
          <bgColor rgb="FF8B4789"/>
        </patternFill>
      </fill>
    </dxf>
    <dxf>
      <font>
        <b val="1"/>
        <color rgb="FFFFFFFF"/>
      </font>
      <fill>
        <patternFill>
          <bgColor rgb="FF4A4A4A"/>
        </patternFill>
      </fill>
    </dxf>
    <dxf>
      <font>
        <b val="1"/>
        <color rgb="FFFFFFFF"/>
      </font>
      <fill>
        <patternFill>
          <bgColor rgb="FF1E3A8A"/>
        </patternFill>
      </fill>
    </dxf>
    <dxf>
      <font>
        <b val="1"/>
        <color rgb="FFFFFFFF"/>
      </font>
      <fill>
        <patternFill>
          <bgColor rgb="FF06B6D4"/>
        </patternFill>
      </fill>
    </dxf>
    <dxf>
      <font>
        <b val="1"/>
        <color rgb="FFFFFFFF"/>
      </font>
      <fill>
        <patternFill>
          <bgColor rgb="FF92400E"/>
        </patternFill>
      </fill>
    </dxf>
    <dxf>
      <font>
        <b val="1"/>
        <color rgb="FF000000"/>
      </font>
      <fill>
        <patternFill>
          <bgColor rgb="FFFFC000"/>
        </patternFill>
      </fill>
    </dxf>
    <dxf>
      <font>
        <b val="1"/>
        <color rgb="FFFFFFFF"/>
      </font>
      <fill>
        <patternFill>
          <bgColor rgb="FF595959"/>
        </patternFill>
      </fill>
    </dxf>
    <dxf>
      <fill>
        <patternFill>
          <bgColor rgb="FF70AD47"/>
        </patternFill>
      </fill>
    </dxf>
    <dxf>
      <fill>
        <patternFill>
          <bgColor rgb="FF8FA1B3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D9B382"/>
        </patternFill>
      </fill>
    </dxf>
    <dxf>
      <fill>
        <patternFill>
          <bgColor rgb="FFFFC000"/>
        </patternFill>
      </fill>
    </dxf>
    <dxf>
      <fill>
        <patternFill>
          <bgColor rgb="FFFFD6D6"/>
        </patternFill>
      </fill>
    </dxf>
    <dxf>
      <fill>
        <patternFill>
          <bgColor rgb="FFD4F4F3"/>
        </patternFill>
      </fill>
    </dxf>
    <dxf>
      <fill>
        <patternFill>
          <bgColor rgb="FFFFF5C2"/>
        </patternFill>
      </fill>
    </dxf>
    <dxf>
      <fill>
        <patternFill>
          <bgColor rgb="FFD5F0DA"/>
        </patternFill>
      </fill>
    </dxf>
    <dxf>
      <fill>
        <patternFill>
          <bgColor rgb="FFE8DBFF"/>
        </patternFill>
      </fill>
    </dxf>
    <dxf>
      <fill>
        <patternFill>
          <bgColor rgb="FFFFDD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6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5E1D3"/>
      <rgbColor rgb="FF8B4789"/>
      <rgbColor rgb="FFFFF5C2"/>
      <rgbColor rgb="FFD4F4F3"/>
      <rgbColor rgb="FF660066"/>
      <rgbColor rgb="FFFF6B6B"/>
      <rgbColor rgb="FF2E5F8A"/>
      <rgbColor rgb="FFD9E1F2"/>
      <rgbColor rgb="FF000080"/>
      <rgbColor rgb="FFFF00FF"/>
      <rgbColor rgb="FFFFDDCC"/>
      <rgbColor rgb="FF00FFFF"/>
      <rgbColor rgb="FF800080"/>
      <rgbColor rgb="FF800000"/>
      <rgbColor rgb="FF008080"/>
      <rgbColor rgb="FF0000FF"/>
      <rgbColor rgb="FF06B6D4"/>
      <rgbColor rgb="FFE2EFDA"/>
      <rgbColor rgb="FFD5F0DA"/>
      <rgbColor rgb="FFFFE699"/>
      <rgbColor rgb="FF9BC2E6"/>
      <rgbColor rgb="FFD9B382"/>
      <rgbColor rgb="FFC9B1FF"/>
      <rgbColor rgb="FFF7E4A3"/>
      <rgbColor rgb="FF3366FF"/>
      <rgbColor rgb="FF4ECDC4"/>
      <rgbColor rgb="FFE8DBFF"/>
      <rgbColor rgb="FFFFC000"/>
      <rgbColor rgb="FFFFD6D6"/>
      <rgbColor rgb="FFFF6600"/>
      <rgbColor rgb="FF595959"/>
      <rgbColor rgb="FF8FA1B3"/>
      <rgbColor rgb="FF1F3A5F"/>
      <rgbColor rgb="FF70AD47"/>
      <rgbColor rgb="FF003300"/>
      <rgbColor rgb="FF333300"/>
      <rgbColor rgb="FF92400E"/>
      <rgbColor rgb="FF993366"/>
      <rgbColor rgb="FF1E3A8A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2" t="s">
        <v>1</v>
      </c>
      <c r="B3" s="3" t="n">
        <v>4</v>
      </c>
      <c r="C3" s="2" t="s">
        <v>2</v>
      </c>
      <c r="D3" s="3" t="n">
        <v>1</v>
      </c>
      <c r="E3" s="2" t="s">
        <v>3</v>
      </c>
      <c r="F3" s="3" t="n">
        <v>1</v>
      </c>
      <c r="G3" s="2" t="s">
        <v>4</v>
      </c>
      <c r="H3" s="3" t="n">
        <v>1</v>
      </c>
    </row>
    <row r="4" customFormat="false" ht="15" hidden="false" customHeight="true" outlineLevel="0" collapsed="false">
      <c r="A4" s="4" t="s">
        <v>5</v>
      </c>
      <c r="B4" s="4"/>
      <c r="C4" s="4" t="s">
        <v>6</v>
      </c>
      <c r="D4" s="4"/>
      <c r="E4" s="4"/>
      <c r="F4" s="4"/>
      <c r="G4" s="4"/>
      <c r="H4" s="4"/>
    </row>
    <row r="6" customFormat="false" ht="26.85" hidden="false" customHeight="false" outlineLevel="0" collapsed="false">
      <c r="A6" s="5" t="s">
        <v>7</v>
      </c>
      <c r="B6" s="5" t="s">
        <v>8</v>
      </c>
      <c r="C6" s="5" t="s">
        <v>9</v>
      </c>
    </row>
    <row r="7" customFormat="false" ht="23.85" hidden="false" customHeight="true" outlineLevel="0" collapsed="false">
      <c r="A7" s="6" t="s">
        <v>10</v>
      </c>
      <c r="B7" s="7" t="str">
        <f aca="false">CHOOSE(H3,"1 - Jugar ficha de mano","2 - Mover Exploradores/Barcos","3 - Retirar ficha de terreno","4 - Tirar dado y mover criatura")</f>
        <v>1 - Jugar ficha de mano</v>
      </c>
      <c r="C7" s="8" t="s">
        <v>11</v>
      </c>
      <c r="D7" s="8"/>
      <c r="E7" s="8"/>
      <c r="F7" s="8"/>
      <c r="G7" s="8"/>
      <c r="H7" s="8"/>
    </row>
    <row r="8" customFormat="false" ht="15" hidden="false" customHeight="true" outlineLevel="0" collapsed="false">
      <c r="A8" s="6" t="s">
        <v>12</v>
      </c>
      <c r="B8" s="7" t="str">
        <f aca="false">CHOOSE(F3,"Rojo","Turquesa","Amarillo","Verde menta","Purpura","Salmon")</f>
        <v>Rojo</v>
      </c>
      <c r="C8" s="8" t="s">
        <v>13</v>
      </c>
      <c r="D8" s="8"/>
      <c r="E8" s="8"/>
      <c r="F8" s="8"/>
      <c r="G8" s="8"/>
      <c r="H8" s="8"/>
    </row>
    <row r="9" customFormat="false" ht="15" hidden="false" customHeight="true" outlineLevel="0" collapsed="false">
      <c r="A9" s="6" t="s">
        <v>14</v>
      </c>
      <c r="B9" s="7" t="n">
        <f aca="false">40-COUNTIF(TILES!E3:E42,"removido")</f>
        <v>40</v>
      </c>
      <c r="C9" s="8" t="s">
        <v>15</v>
      </c>
      <c r="D9" s="8"/>
      <c r="E9" s="8"/>
      <c r="F9" s="8"/>
      <c r="G9" s="8"/>
      <c r="H9" s="8"/>
    </row>
    <row r="10" customFormat="false" ht="15" hidden="false" customHeight="true" outlineLevel="0" collapsed="false">
      <c r="A10" s="6" t="s">
        <v>16</v>
      </c>
      <c r="B10" s="7" t="n">
        <f aca="false">COUNTIF(TILES!E3:E42,"removido")</f>
        <v>0</v>
      </c>
      <c r="C10" s="8" t="s">
        <v>17</v>
      </c>
      <c r="D10" s="8"/>
      <c r="E10" s="8"/>
      <c r="F10" s="8"/>
      <c r="G10" s="8"/>
      <c r="H10" s="8"/>
    </row>
    <row r="11" customFormat="false" ht="15" hidden="false" customHeight="true" outlineLevel="0" collapsed="false">
      <c r="A11" s="6" t="s">
        <v>18</v>
      </c>
      <c r="B11" s="7" t="str">
        <f aca="false">IF(COUNTIFS(TILES!D3:D42,"INM_Volcan",TILES!E3:E42,"removido")&gt;0,"SI - FIN","No")</f>
        <v>No</v>
      </c>
      <c r="C11" s="8" t="s">
        <v>19</v>
      </c>
      <c r="D11" s="8"/>
      <c r="E11" s="8"/>
      <c r="F11" s="8"/>
      <c r="G11" s="8"/>
      <c r="H11" s="8"/>
    </row>
    <row r="12" customFormat="false" ht="15" hidden="false" customHeight="true" outlineLevel="0" collapsed="false">
      <c r="A12" s="6" t="s">
        <v>20</v>
      </c>
      <c r="B12" s="7" t="n">
        <f aca="false">COUNTIF(EXPLORADORES!G2:G61,"Tierra")</f>
        <v>60</v>
      </c>
      <c r="C12" s="8" t="s">
        <v>21</v>
      </c>
      <c r="D12" s="8"/>
      <c r="E12" s="8"/>
      <c r="F12" s="8"/>
      <c r="G12" s="8"/>
      <c r="H12" s="8"/>
    </row>
    <row r="13" customFormat="false" ht="15" hidden="false" customHeight="true" outlineLevel="0" collapsed="false">
      <c r="A13" s="6" t="s">
        <v>22</v>
      </c>
      <c r="B13" s="7" t="n">
        <f aca="false">COUNTIF(EXPLORADORES!G2:G61,"Mar")</f>
        <v>0</v>
      </c>
      <c r="C13" s="8" t="s">
        <v>23</v>
      </c>
      <c r="D13" s="8"/>
      <c r="E13" s="8"/>
      <c r="F13" s="8"/>
      <c r="G13" s="8"/>
      <c r="H13" s="8"/>
    </row>
    <row r="14" customFormat="false" ht="15" hidden="false" customHeight="true" outlineLevel="0" collapsed="false">
      <c r="A14" s="6" t="s">
        <v>24</v>
      </c>
      <c r="B14" s="7" t="n">
        <f aca="false">COUNTIF(EXPLORADORES!G2:G61,"Barco")</f>
        <v>0</v>
      </c>
      <c r="C14" s="8" t="s">
        <v>25</v>
      </c>
      <c r="D14" s="8"/>
      <c r="E14" s="8"/>
      <c r="F14" s="8"/>
      <c r="G14" s="8"/>
      <c r="H14" s="8"/>
    </row>
    <row r="15" customFormat="false" ht="15" hidden="false" customHeight="true" outlineLevel="0" collapsed="false">
      <c r="A15" s="6" t="s">
        <v>26</v>
      </c>
      <c r="B15" s="7" t="n">
        <f aca="false">COUNTIF(EXPLORADORES!G2:G61,"Salvado")</f>
        <v>0</v>
      </c>
      <c r="C15" s="8" t="s">
        <v>27</v>
      </c>
      <c r="D15" s="8"/>
      <c r="E15" s="8"/>
      <c r="F15" s="8"/>
      <c r="G15" s="8"/>
      <c r="H15" s="8"/>
    </row>
    <row r="16" customFormat="false" ht="15" hidden="false" customHeight="true" outlineLevel="0" collapsed="false">
      <c r="A16" s="6" t="s">
        <v>28</v>
      </c>
      <c r="B16" s="7" t="n">
        <f aca="false">COUNTIF(EXPLORADORES!G2:G61,"Eliminado")</f>
        <v>0</v>
      </c>
      <c r="C16" s="8" t="s">
        <v>29</v>
      </c>
      <c r="D16" s="8"/>
      <c r="E16" s="8"/>
      <c r="F16" s="8"/>
      <c r="G16" s="8"/>
      <c r="H16" s="8"/>
    </row>
    <row r="18" customFormat="false" ht="26.85" hidden="false" customHeight="false" outlineLevel="0" collapsed="false">
      <c r="A18" s="5" t="s">
        <v>30</v>
      </c>
      <c r="B18" s="5" t="s">
        <v>31</v>
      </c>
      <c r="C18" s="5" t="s">
        <v>32</v>
      </c>
      <c r="D18" s="5" t="s">
        <v>33</v>
      </c>
      <c r="E18" s="5" t="s">
        <v>34</v>
      </c>
      <c r="F18" s="5" t="s">
        <v>35</v>
      </c>
      <c r="G18" s="5" t="s">
        <v>36</v>
      </c>
      <c r="H18" s="5" t="s">
        <v>37</v>
      </c>
    </row>
    <row r="19" customFormat="false" ht="15" hidden="false" customHeight="false" outlineLevel="0" collapsed="false">
      <c r="A19" s="9" t="s">
        <v>38</v>
      </c>
      <c r="B19" s="7" t="str">
        <f aca="false">IF(AND($B$3&gt;=1,$F$3=1),"TURNO",IF($B$3&gt;=1,"Si","-"))</f>
        <v>TURNO</v>
      </c>
      <c r="C19" s="10" t="str">
        <f aca="false">CHOOSE(1,"Rojo","Turquesa","Amarillo","Verde menta","Purpura","Salmon")</f>
        <v>Rojo</v>
      </c>
      <c r="D19" s="11" t="n">
        <f aca="false">COUNTIFS(EXPLORADORES!B2:B61,1,EXPLORADORES!G2:G61,"&lt;&gt;Eliminado")</f>
        <v>10</v>
      </c>
      <c r="E19" s="11" t="n">
        <f aca="false">COUNTIFS(EXPLORADORES!B2:B61,1,EXPLORADORES!G2:G61,"Tierra")+COUNTIFS(EXPLORADORES!B2:B61,1,EXPLORADORES!G2:G61,"Mar")+COUNTIFS(EXPLORADORES!B2:B61,1,EXPLORADORES!G2:G61,"Barco")</f>
        <v>10</v>
      </c>
      <c r="F19" s="11" t="n">
        <f aca="false">COUNTIFS(EXPLORADORES!B2:B61,1,EXPLORADORES!G2:G61,"Salvado")</f>
        <v>0</v>
      </c>
      <c r="G19" s="11" t="n">
        <f aca="false">SUMIFS(EXPLORADORES!F2:F61,EXPLORADORES!B2:B61,1,EXPLORADORES!G2:G61,"Salvado")</f>
        <v>0</v>
      </c>
      <c r="H19" s="11" t="n">
        <f aca="false">COUNTIFS(JUGADORES!A3:A62,1,JUGADORES!D3:D62,"En mano")</f>
        <v>0</v>
      </c>
    </row>
    <row r="20" customFormat="false" ht="15" hidden="false" customHeight="false" outlineLevel="0" collapsed="false">
      <c r="A20" s="9" t="s">
        <v>39</v>
      </c>
      <c r="B20" s="7" t="str">
        <f aca="false">IF(AND($B$3&gt;=2,$F$3=2),"TURNO",IF($B$3&gt;=2,"Si","-"))</f>
        <v>Si</v>
      </c>
      <c r="C20" s="10" t="str">
        <f aca="false">CHOOSE(2,"Rojo","Turquesa","Amarillo","Verde menta","Purpura","Salmon")</f>
        <v>Turquesa</v>
      </c>
      <c r="D20" s="11" t="n">
        <f aca="false">COUNTIFS(EXPLORADORES!B2:B61,2,EXPLORADORES!G2:G61,"&lt;&gt;Eliminado")</f>
        <v>10</v>
      </c>
      <c r="E20" s="11" t="n">
        <f aca="false">COUNTIFS(EXPLORADORES!B2:B61,2,EXPLORADORES!G2:G61,"Tierra")+COUNTIFS(EXPLORADORES!B2:B61,2,EXPLORADORES!G2:G61,"Mar")+COUNTIFS(EXPLORADORES!B2:B61,2,EXPLORADORES!G2:G61,"Barco")</f>
        <v>10</v>
      </c>
      <c r="F20" s="11" t="n">
        <f aca="false">COUNTIFS(EXPLORADORES!B2:B61,2,EXPLORADORES!G2:G61,"Salvado")</f>
        <v>0</v>
      </c>
      <c r="G20" s="11" t="n">
        <f aca="false">SUMIFS(EXPLORADORES!F2:F61,EXPLORADORES!B2:B61,2,EXPLORADORES!G2:G61,"Salvado")</f>
        <v>0</v>
      </c>
      <c r="H20" s="11" t="n">
        <f aca="false">COUNTIFS(JUGADORES!A3:A62,2,JUGADORES!D3:D62,"En mano")</f>
        <v>0</v>
      </c>
    </row>
    <row r="21" customFormat="false" ht="15" hidden="false" customHeight="false" outlineLevel="0" collapsed="false">
      <c r="A21" s="9" t="s">
        <v>40</v>
      </c>
      <c r="B21" s="7" t="str">
        <f aca="false">IF(AND($B$3&gt;=3,$F$3=3),"TURNO",IF($B$3&gt;=3,"Si","-"))</f>
        <v>Si</v>
      </c>
      <c r="C21" s="10" t="str">
        <f aca="false">CHOOSE(3,"Rojo","Turquesa","Amarillo","Verde menta","Purpura","Salmon")</f>
        <v>Amarillo</v>
      </c>
      <c r="D21" s="11" t="n">
        <f aca="false">COUNTIFS(EXPLORADORES!B2:B61,3,EXPLORADORES!G2:G61,"&lt;&gt;Eliminado")</f>
        <v>10</v>
      </c>
      <c r="E21" s="11" t="n">
        <f aca="false">COUNTIFS(EXPLORADORES!B2:B61,3,EXPLORADORES!G2:G61,"Tierra")+COUNTIFS(EXPLORADORES!B2:B61,3,EXPLORADORES!G2:G61,"Mar")+COUNTIFS(EXPLORADORES!B2:B61,3,EXPLORADORES!G2:G61,"Barco")</f>
        <v>10</v>
      </c>
      <c r="F21" s="11" t="n">
        <f aca="false">COUNTIFS(EXPLORADORES!B2:B61,3,EXPLORADORES!G2:G61,"Salvado")</f>
        <v>0</v>
      </c>
      <c r="G21" s="11" t="n">
        <f aca="false">SUMIFS(EXPLORADORES!F2:F61,EXPLORADORES!B2:B61,3,EXPLORADORES!G2:G61,"Salvado")</f>
        <v>0</v>
      </c>
      <c r="H21" s="11" t="n">
        <f aca="false">COUNTIFS(JUGADORES!A3:A62,3,JUGADORES!D3:D62,"En mano")</f>
        <v>0</v>
      </c>
    </row>
    <row r="22" customFormat="false" ht="15" hidden="false" customHeight="false" outlineLevel="0" collapsed="false">
      <c r="A22" s="9" t="s">
        <v>41</v>
      </c>
      <c r="B22" s="7" t="str">
        <f aca="false">IF(AND($B$3&gt;=4,$F$3=4),"TURNO",IF($B$3&gt;=4,"Si","-"))</f>
        <v>Si</v>
      </c>
      <c r="C22" s="10" t="str">
        <f aca="false">CHOOSE(4,"Rojo","Turquesa","Amarillo","Verde menta","Purpura","Salmon")</f>
        <v>Verde menta</v>
      </c>
      <c r="D22" s="11" t="n">
        <f aca="false">COUNTIFS(EXPLORADORES!B2:B61,4,EXPLORADORES!G2:G61,"&lt;&gt;Eliminado")</f>
        <v>10</v>
      </c>
      <c r="E22" s="11" t="n">
        <f aca="false">COUNTIFS(EXPLORADORES!B2:B61,4,EXPLORADORES!G2:G61,"Tierra")+COUNTIFS(EXPLORADORES!B2:B61,4,EXPLORADORES!G2:G61,"Mar")+COUNTIFS(EXPLORADORES!B2:B61,4,EXPLORADORES!G2:G61,"Barco")</f>
        <v>10</v>
      </c>
      <c r="F22" s="11" t="n">
        <f aca="false">COUNTIFS(EXPLORADORES!B2:B61,4,EXPLORADORES!G2:G61,"Salvado")</f>
        <v>0</v>
      </c>
      <c r="G22" s="11" t="n">
        <f aca="false">SUMIFS(EXPLORADORES!F2:F61,EXPLORADORES!B2:B61,4,EXPLORADORES!G2:G61,"Salvado")</f>
        <v>0</v>
      </c>
      <c r="H22" s="11" t="n">
        <f aca="false">COUNTIFS(JUGADORES!A3:A62,4,JUGADORES!D3:D62,"En mano")</f>
        <v>0</v>
      </c>
    </row>
    <row r="23" customFormat="false" ht="15" hidden="false" customHeight="false" outlineLevel="0" collapsed="false">
      <c r="A23" s="9" t="s">
        <v>42</v>
      </c>
      <c r="B23" s="7" t="str">
        <f aca="false">IF(AND($B$3&gt;=5,$F$3=5),"TURNO",IF($B$3&gt;=5,"Si","-"))</f>
        <v>-</v>
      </c>
      <c r="C23" s="10" t="str">
        <f aca="false">CHOOSE(5,"Rojo","Turquesa","Amarillo","Verde menta","Purpura","Salmon")</f>
        <v>Purpura</v>
      </c>
      <c r="D23" s="11" t="n">
        <f aca="false">COUNTIFS(EXPLORADORES!B2:B61,5,EXPLORADORES!G2:G61,"&lt;&gt;Eliminado")</f>
        <v>10</v>
      </c>
      <c r="E23" s="11" t="n">
        <f aca="false">COUNTIFS(EXPLORADORES!B2:B61,5,EXPLORADORES!G2:G61,"Tierra")+COUNTIFS(EXPLORADORES!B2:B61,5,EXPLORADORES!G2:G61,"Mar")+COUNTIFS(EXPLORADORES!B2:B61,5,EXPLORADORES!G2:G61,"Barco")</f>
        <v>10</v>
      </c>
      <c r="F23" s="11" t="n">
        <f aca="false">COUNTIFS(EXPLORADORES!B2:B61,5,EXPLORADORES!G2:G61,"Salvado")</f>
        <v>0</v>
      </c>
      <c r="G23" s="11" t="n">
        <f aca="false">SUMIFS(EXPLORADORES!F2:F61,EXPLORADORES!B2:B61,5,EXPLORADORES!G2:G61,"Salvado")</f>
        <v>0</v>
      </c>
      <c r="H23" s="11" t="n">
        <f aca="false">COUNTIFS(JUGADORES!A3:A62,5,JUGADORES!D3:D62,"En mano")</f>
        <v>0</v>
      </c>
    </row>
    <row r="24" customFormat="false" ht="15" hidden="false" customHeight="false" outlineLevel="0" collapsed="false">
      <c r="A24" s="9" t="s">
        <v>43</v>
      </c>
      <c r="B24" s="7" t="str">
        <f aca="false">IF(AND($B$3&gt;=6,$F$3=6),"TURNO",IF($B$3&gt;=6,"Si","-"))</f>
        <v>-</v>
      </c>
      <c r="C24" s="10" t="str">
        <f aca="false">CHOOSE(6,"Rojo","Turquesa","Amarillo","Verde menta","Purpura","Salmon")</f>
        <v>Salmon</v>
      </c>
      <c r="D24" s="11" t="n">
        <f aca="false">COUNTIFS(EXPLORADORES!B2:B61,6,EXPLORADORES!G2:G61,"&lt;&gt;Eliminado")</f>
        <v>10</v>
      </c>
      <c r="E24" s="11" t="n">
        <f aca="false">COUNTIFS(EXPLORADORES!B2:B61,6,EXPLORADORES!G2:G61,"Tierra")+COUNTIFS(EXPLORADORES!B2:B61,6,EXPLORADORES!G2:G61,"Mar")+COUNTIFS(EXPLORADORES!B2:B61,6,EXPLORADORES!G2:G61,"Barco")</f>
        <v>10</v>
      </c>
      <c r="F24" s="11" t="n">
        <f aca="false">COUNTIFS(EXPLORADORES!B2:B61,6,EXPLORADORES!G2:G61,"Salvado")</f>
        <v>0</v>
      </c>
      <c r="G24" s="11" t="n">
        <f aca="false">SUMIFS(EXPLORADORES!F2:F61,EXPLORADORES!B2:B61,6,EXPLORADORES!G2:G61,"Salvado")</f>
        <v>0</v>
      </c>
      <c r="H24" s="11" t="n">
        <f aca="false">COUNTIFS(JUGADORES!A3:A62,6,JUGADORES!D3:D62,"En mano")</f>
        <v>0</v>
      </c>
    </row>
    <row r="26" customFormat="false" ht="30" hidden="false" customHeight="true" outlineLevel="0" collapsed="false">
      <c r="A26" s="12" t="str">
        <f aca="false">IF(COUNTIFS(TILES!D3:D42,"INM_Volcan",TILES!E3:E42,"removido")=0,"Partida en curso... (se termina cuando se revela el Volcan)","FIN DE PARTIDA - Ganador: Jugador "&amp;MATCH(MAX(G19:G24),G19:G24,0)&amp;" con "&amp;MAX(G19:G24)&amp;" puntos salvados")</f>
        <v>Partida en curso... (se termina cuando se revela el Volcan)</v>
      </c>
      <c r="B26" s="12"/>
      <c r="C26" s="12"/>
      <c r="D26" s="12"/>
      <c r="E26" s="12"/>
      <c r="F26" s="12"/>
      <c r="G26" s="12"/>
      <c r="H26" s="12"/>
    </row>
  </sheetData>
  <mergeCells count="14">
    <mergeCell ref="A1:H1"/>
    <mergeCell ref="A4:B4"/>
    <mergeCell ref="C4:H4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3"/>
  </cols>
  <sheetData>
    <row r="1" customFormat="false" ht="27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1.5" hidden="false" customHeight="true" outlineLevel="0" collapsed="false"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</row>
    <row r="4" customFormat="false" ht="31.5" hidden="false" customHeight="true" outlineLevel="0" collapsed="false">
      <c r="A4" s="5" t="s">
        <v>55</v>
      </c>
      <c r="B4" s="7" t="str">
        <f aca="false">IFERROR(IF(SUMPRODUCT((TILES!G3:G42=1)*(TILES!H3:H42=1)*(TILES!E3:E42="en juego"))&gt;0,INDEX(TILES!B3:B42,MATCH(1,(TILES!G3:G42=1)*(TILES!H3:H42=1)*(TILES!E3:E42="en juego"),0)),IF(SUMPRODUCT((CRIATURAS!D3:D34=1)*(CRIATURAS!E3:E34=1)*(CRIATURAS!C3:C34="activo"))&gt;0,INDEX(CRIATURAS!B3:B34,MATCH(1,(CRIATURAS!D3:D34=1)*(CRIATURAS!E3:E34=1)*(CRIATURAS!C3:C34="activo"),0)),IF(COUNTIFS(EXPLORADORES!H2:H61,1,EXPLORADORES!I2:I61,1,EXPLORADORES!G2:G61,"&lt;&gt;Eliminado")&gt;0,"Exp x"&amp;COUNTIFS(EXPLORADORES!H2:H61,1,EXPLORADORES!I2:I61,1,EXPLORADORES!G2:G61,"&lt;&gt;Eliminado"),"Mar"))),"Mar")</f>
        <v>Mar</v>
      </c>
      <c r="C4" s="7" t="str">
        <f aca="false">IFERROR(IF(SUMPRODUCT((TILES!G3:G42=1)*(TILES!H3:H42=2)*(TILES!E3:E42="en juego"))&gt;0,INDEX(TILES!B3:B42,MATCH(1,(TILES!G3:G42=1)*(TILES!H3:H42=2)*(TILES!E3:E42="en juego"),0)),IF(SUMPRODUCT((CRIATURAS!D3:D34=1)*(CRIATURAS!E3:E34=2)*(CRIATURAS!C3:C34="activo"))&gt;0,INDEX(CRIATURAS!B3:B34,MATCH(1,(CRIATURAS!D3:D34=1)*(CRIATURAS!E3:E34=2)*(CRIATURAS!C3:C34="activo"),0)),IF(COUNTIFS(EXPLORADORES!H2:H61,1,EXPLORADORES!I2:I61,2,EXPLORADORES!G2:G61,"&lt;&gt;Eliminado")&gt;0,"Exp x"&amp;COUNTIFS(EXPLORADORES!H2:H61,1,EXPLORADORES!I2:I61,2,EXPLORADORES!G2:G61,"&lt;&gt;Eliminado"),"Mar"))),"Mar")</f>
        <v>Serpiente</v>
      </c>
      <c r="D4" s="7" t="str">
        <f aca="false">IFERROR(IF(SUMPRODUCT((TILES!G3:G42=1)*(TILES!H3:H42=3)*(TILES!E3:E42="en juego"))&gt;0,INDEX(TILES!B3:B42,MATCH(1,(TILES!G3:G42=1)*(TILES!H3:H42=3)*(TILES!E3:E42="en juego"),0)),IF(SUMPRODUCT((CRIATURAS!D3:D34=1)*(CRIATURAS!E3:E34=3)*(CRIATURAS!C3:C34="activo"))&gt;0,INDEX(CRIATURAS!B3:B34,MATCH(1,(CRIATURAS!D3:D34=1)*(CRIATURAS!E3:E34=3)*(CRIATURAS!C3:C34="activo"),0)),IF(COUNTIFS(EXPLORADORES!H2:H61,1,EXPLORADORES!I2:I61,3,EXPLORADORES!G2:G61,"&lt;&gt;Eliminado")&gt;0,"Exp x"&amp;COUNTIFS(EXPLORADORES!H2:H61,1,EXPLORADORES!I2:I61,3,EXPLORADORES!G2:G61,"&lt;&gt;Eliminado"),"Mar"))),"Mar")</f>
        <v>Mar</v>
      </c>
      <c r="E4" s="7" t="str">
        <f aca="false">IFERROR(IF(SUMPRODUCT((TILES!G3:G42=1)*(TILES!H3:H42=4)*(TILES!E3:E42="en juego"))&gt;0,INDEX(TILES!B3:B42,MATCH(1,(TILES!G3:G42=1)*(TILES!H3:H42=4)*(TILES!E3:E42="en juego"),0)),IF(SUMPRODUCT((CRIATURAS!D3:D34=1)*(CRIATURAS!E3:E34=4)*(CRIATURAS!C3:C34="activo"))&gt;0,INDEX(CRIATURAS!B3:B34,MATCH(1,(CRIATURAS!D3:D34=1)*(CRIATURAS!E3:E34=4)*(CRIATURAS!C3:C34="activo"),0)),IF(COUNTIFS(EXPLORADORES!H2:H61,1,EXPLORADORES!I2:I61,4,EXPLORADORES!G2:G61,"&lt;&gt;Eliminado")&gt;0,"Exp x"&amp;COUNTIFS(EXPLORADORES!H2:H61,1,EXPLORADORES!I2:I61,4,EXPLORADORES!G2:G61,"&lt;&gt;Eliminado"),"Mar"))),"Mar")</f>
        <v>Mar</v>
      </c>
      <c r="F4" s="7" t="str">
        <f aca="false">IFERROR(IF(SUMPRODUCT((TILES!G3:G42=1)*(TILES!H3:H42=5)*(TILES!E3:E42="en juego"))&gt;0,INDEX(TILES!B3:B42,MATCH(1,(TILES!G3:G42=1)*(TILES!H3:H42=5)*(TILES!E3:E42="en juego"),0)),IF(SUMPRODUCT((CRIATURAS!D3:D34=1)*(CRIATURAS!E3:E34=5)*(CRIATURAS!C3:C34="activo"))&gt;0,INDEX(CRIATURAS!B3:B34,MATCH(1,(CRIATURAS!D3:D34=1)*(CRIATURAS!E3:E34=5)*(CRIATURAS!C3:C34="activo"),0)),IF(COUNTIFS(EXPLORADORES!H2:H61,1,EXPLORADORES!I2:I61,5,EXPLORADORES!G2:G61,"&lt;&gt;Eliminado")&gt;0,"Exp x"&amp;COUNTIFS(EXPLORADORES!H2:H61,1,EXPLORADORES!I2:I61,5,EXPLORADORES!G2:G61,"&lt;&gt;Eliminado"),"Mar"))),"Mar")</f>
        <v>Mar</v>
      </c>
      <c r="G4" s="7" t="str">
        <f aca="false">IFERROR(IF(SUMPRODUCT((TILES!G3:G42=1)*(TILES!H3:H42=6)*(TILES!E3:E42="en juego"))&gt;0,INDEX(TILES!B3:B42,MATCH(1,(TILES!G3:G42=1)*(TILES!H3:H42=6)*(TILES!E3:E42="en juego"),0)),IF(SUMPRODUCT((CRIATURAS!D3:D34=1)*(CRIATURAS!E3:E34=6)*(CRIATURAS!C3:C34="activo"))&gt;0,INDEX(CRIATURAS!B3:B34,MATCH(1,(CRIATURAS!D3:D34=1)*(CRIATURAS!E3:E34=6)*(CRIATURAS!C3:C34="activo"),0)),IF(COUNTIFS(EXPLORADORES!H2:H61,1,EXPLORADORES!I2:I61,6,EXPLORADORES!G2:G61,"&lt;&gt;Eliminado")&gt;0,"Exp x"&amp;COUNTIFS(EXPLORADORES!H2:H61,1,EXPLORADORES!I2:I61,6,EXPLORADORES!G2:G61,"&lt;&gt;Eliminado"),"Mar"))),"Mar")</f>
        <v>Mar</v>
      </c>
      <c r="H4" s="7" t="str">
        <f aca="false">IFERROR(IF(SUMPRODUCT((TILES!G3:G42=1)*(TILES!H3:H42=7)*(TILES!E3:E42="en juego"))&gt;0,INDEX(TILES!B3:B42,MATCH(1,(TILES!G3:G42=1)*(TILES!H3:H42=7)*(TILES!E3:E42="en juego"),0)),IF(SUMPRODUCT((CRIATURAS!D3:D34=1)*(CRIATURAS!E3:E34=7)*(CRIATURAS!C3:C34="activo"))&gt;0,INDEX(CRIATURAS!B3:B34,MATCH(1,(CRIATURAS!D3:D34=1)*(CRIATURAS!E3:E34=7)*(CRIATURAS!C3:C34="activo"),0)),IF(COUNTIFS(EXPLORADORES!H2:H61,1,EXPLORADORES!I2:I61,7,EXPLORADORES!G2:G61,"&lt;&gt;Eliminado")&gt;0,"Exp x"&amp;COUNTIFS(EXPLORADORES!H2:H61,1,EXPLORADORES!I2:I61,7,EXPLORADORES!G2:G61,"&lt;&gt;Eliminado"),"Mar"))),"Mar")</f>
        <v>Mar</v>
      </c>
      <c r="I4" s="7" t="str">
        <f aca="false">IFERROR(IF(SUMPRODUCT((TILES!G3:G42=1)*(TILES!H3:H42=8)*(TILES!E3:E42="en juego"))&gt;0,INDEX(TILES!B3:B42,MATCH(1,(TILES!G3:G42=1)*(TILES!H3:H42=8)*(TILES!E3:E42="en juego"),0)),IF(SUMPRODUCT((CRIATURAS!D3:D34=1)*(CRIATURAS!E3:E34=8)*(CRIATURAS!C3:C34="activo"))&gt;0,INDEX(CRIATURAS!B3:B34,MATCH(1,(CRIATURAS!D3:D34=1)*(CRIATURAS!E3:E34=8)*(CRIATURAS!C3:C34="activo"),0)),IF(COUNTIFS(EXPLORADORES!H2:H61,1,EXPLORADORES!I2:I61,8,EXPLORADORES!G2:G61,"&lt;&gt;Eliminado")&gt;0,"Exp x"&amp;COUNTIFS(EXPLORADORES!H2:H61,1,EXPLORADORES!I2:I61,8,EXPLORADORES!G2:G61,"&lt;&gt;Eliminado"),"Mar"))),"Mar")</f>
        <v>Mar</v>
      </c>
      <c r="J4" s="7" t="str">
        <f aca="false">IFERROR(IF(SUMPRODUCT((TILES!G3:G42=1)*(TILES!H3:H42=9)*(TILES!E3:E42="en juego"))&gt;0,INDEX(TILES!B3:B42,MATCH(1,(TILES!G3:G42=1)*(TILES!H3:H42=9)*(TILES!E3:E42="en juego"),0)),IF(SUMPRODUCT((CRIATURAS!D3:D34=1)*(CRIATURAS!E3:E34=9)*(CRIATURAS!C3:C34="activo"))&gt;0,INDEX(CRIATURAS!B3:B34,MATCH(1,(CRIATURAS!D3:D34=1)*(CRIATURAS!E3:E34=9)*(CRIATURAS!C3:C34="activo"),0)),IF(COUNTIFS(EXPLORADORES!H2:H61,1,EXPLORADORES!I2:I61,9,EXPLORADORES!G2:G61,"&lt;&gt;Eliminado")&gt;0,"Exp x"&amp;COUNTIFS(EXPLORADORES!H2:H61,1,EXPLORADORES!I2:I61,9,EXPLORADORES!G2:G61,"&lt;&gt;Eliminado"),"Mar"))),"Mar")</f>
        <v>Serpiente</v>
      </c>
      <c r="K4" s="7" t="str">
        <f aca="false">IFERROR(IF(SUMPRODUCT((TILES!G3:G42=1)*(TILES!H3:H42=10)*(TILES!E3:E42="en juego"))&gt;0,INDEX(TILES!B3:B42,MATCH(1,(TILES!G3:G42=1)*(TILES!H3:H42=10)*(TILES!E3:E42="en juego"),0)),IF(SUMPRODUCT((CRIATURAS!D3:D34=1)*(CRIATURAS!E3:E34=10)*(CRIATURAS!C3:C34="activo"))&gt;0,INDEX(CRIATURAS!B3:B34,MATCH(1,(CRIATURAS!D3:D34=1)*(CRIATURAS!E3:E34=10)*(CRIATURAS!C3:C34="activo"),0)),IF(COUNTIFS(EXPLORADORES!H2:H61,1,EXPLORADORES!I2:I61,10,EXPLORADORES!G2:G61,"&lt;&gt;Eliminado")&gt;0,"Exp x"&amp;COUNTIFS(EXPLORADORES!H2:H61,1,EXPLORADORES!I2:I61,10,EXPLORADORES!G2:G61,"&lt;&gt;Eliminado"),"Mar"))),"Mar")</f>
        <v>Mar</v>
      </c>
    </row>
    <row r="5" customFormat="false" ht="31.5" hidden="false" customHeight="true" outlineLevel="0" collapsed="false">
      <c r="A5" s="5" t="s">
        <v>56</v>
      </c>
      <c r="B5" s="7" t="str">
        <f aca="false">IFERROR(IF(SUMPRODUCT((TILES!G3:G42=2)*(TILES!H3:H42=1)*(TILES!E3:E42="en juego"))&gt;0,INDEX(TILES!B3:B42,MATCH(1,(TILES!G3:G42=2)*(TILES!H3:H42=1)*(TILES!E3:E42="en juego"),0)),IF(SUMPRODUCT((CRIATURAS!D3:D34=2)*(CRIATURAS!E3:E34=1)*(CRIATURAS!C3:C34="activo"))&gt;0,INDEX(CRIATURAS!B3:B34,MATCH(1,(CRIATURAS!D3:D34=2)*(CRIATURAS!E3:E34=1)*(CRIATURAS!C3:C34="activo"),0)),IF(COUNTIFS(EXPLORADORES!H2:H61,2,EXPLORADORES!I2:I61,1,EXPLORADORES!G2:G61,"&lt;&gt;Eliminado")&gt;0,"Exp x"&amp;COUNTIFS(EXPLORADORES!H2:H61,2,EXPLORADORES!I2:I61,1,EXPLORADORES!G2:G61,"&lt;&gt;Eliminado"),"Mar"))),"Mar")</f>
        <v>Mar</v>
      </c>
      <c r="C5" s="7" t="str">
        <f aca="false">IFERROR(IF(SUMPRODUCT((TILES!G3:G42=2)*(TILES!H3:H42=2)*(TILES!E3:E42="en juego"))&gt;0,INDEX(TILES!B3:B42,MATCH(1,(TILES!G3:G42=2)*(TILES!H3:H42=2)*(TILES!E3:E42="en juego"),0)),IF(SUMPRODUCT((CRIATURAS!D3:D34=2)*(CRIATURAS!E3:E34=2)*(CRIATURAS!C3:C34="activo"))&gt;0,INDEX(CRIATURAS!B3:B34,MATCH(1,(CRIATURAS!D3:D34=2)*(CRIATURAS!E3:E34=2)*(CRIATURAS!C3:C34="activo"),0)),IF(COUNTIFS(EXPLORADORES!H2:H61,2,EXPLORADORES!I2:I61,2,EXPLORADORES!G2:G61,"&lt;&gt;Eliminado")&gt;0,"Exp x"&amp;COUNTIFS(EXPLORADORES!H2:H61,2,EXPLORADORES!I2:I61,2,EXPLORADORES!G2:G61,"&lt;&gt;Eliminado"),"Mar"))),"Mar")</f>
        <v>Mar</v>
      </c>
      <c r="D5" s="7" t="str">
        <f aca="false">IFERROR(IF(SUMPRODUCT((TILES!G3:G42=2)*(TILES!H3:H42=3)*(TILES!E3:E42="en juego"))&gt;0,INDEX(TILES!B3:B42,MATCH(1,(TILES!G3:G42=2)*(TILES!H3:H42=3)*(TILES!E3:E42="en juego"),0)),IF(SUMPRODUCT((CRIATURAS!D3:D34=2)*(CRIATURAS!E3:E34=3)*(CRIATURAS!C3:C34="activo"))&gt;0,INDEX(CRIATURAS!B3:B34,MATCH(1,(CRIATURAS!D3:D34=2)*(CRIATURAS!E3:E34=3)*(CRIATURAS!C3:C34="activo"),0)),IF(COUNTIFS(EXPLORADORES!H2:H61,2,EXPLORADORES!I2:I61,3,EXPLORADORES!G2:G61,"&lt;&gt;Eliminado")&gt;0,"Exp x"&amp;COUNTIFS(EXPLORADORES!H2:H61,2,EXPLORADORES!I2:I61,3,EXPLORADORES!G2:G61,"&lt;&gt;Eliminado"),"Mar"))),"Mar")</f>
        <v>Mar</v>
      </c>
      <c r="E5" s="7" t="str">
        <f aca="false">IFERROR(IF(SUMPRODUCT((TILES!G3:G42=2)*(TILES!H3:H42=4)*(TILES!E3:E42="en juego"))&gt;0,INDEX(TILES!B3:B42,MATCH(1,(TILES!G3:G42=2)*(TILES!H3:H42=4)*(TILES!E3:E42="en juego"),0)),IF(SUMPRODUCT((CRIATURAS!D3:D34=2)*(CRIATURAS!E3:E34=4)*(CRIATURAS!C3:C34="activo"))&gt;0,INDEX(CRIATURAS!B3:B34,MATCH(1,(CRIATURAS!D3:D34=2)*(CRIATURAS!E3:E34=4)*(CRIATURAS!C3:C34="activo"),0)),IF(COUNTIFS(EXPLORADORES!H2:H61,2,EXPLORADORES!I2:I61,4,EXPLORADORES!G2:G61,"&lt;&gt;Eliminado")&gt;0,"Exp x"&amp;COUNTIFS(EXPLORADORES!H2:H61,2,EXPLORADORES!I2:I61,4,EXPLORADORES!G2:G61,"&lt;&gt;Eliminado"),"Mar"))),"Mar")</f>
        <v>Mar</v>
      </c>
      <c r="F5" s="7" t="str">
        <f aca="false">IFERROR(IF(SUMPRODUCT((TILES!G3:G42=2)*(TILES!H3:H42=5)*(TILES!E3:E42="en juego"))&gt;0,INDEX(TILES!B3:B42,MATCH(1,(TILES!G3:G42=2)*(TILES!H3:H42=5)*(TILES!E3:E42="en juego"),0)),IF(SUMPRODUCT((CRIATURAS!D3:D34=2)*(CRIATURAS!E3:E34=5)*(CRIATURAS!C3:C34="activo"))&gt;0,INDEX(CRIATURAS!B3:B34,MATCH(1,(CRIATURAS!D3:D34=2)*(CRIATURAS!E3:E34=5)*(CRIATURAS!C3:C34="activo"),0)),IF(COUNTIFS(EXPLORADORES!H2:H61,2,EXPLORADORES!I2:I61,5,EXPLORADORES!G2:G61,"&lt;&gt;Eliminado")&gt;0,"Exp x"&amp;COUNTIFS(EXPLORADORES!H2:H61,2,EXPLORADORES!I2:I61,5,EXPLORADORES!G2:G61,"&lt;&gt;Eliminado"),"Mar"))),"Mar")</f>
        <v>Mar</v>
      </c>
      <c r="G5" s="7" t="str">
        <f aca="false">IFERROR(IF(SUMPRODUCT((TILES!G3:G42=2)*(TILES!H3:H42=6)*(TILES!E3:E42="en juego"))&gt;0,INDEX(TILES!B3:B42,MATCH(1,(TILES!G3:G42=2)*(TILES!H3:H42=6)*(TILES!E3:E42="en juego"),0)),IF(SUMPRODUCT((CRIATURAS!D3:D34=2)*(CRIATURAS!E3:E34=6)*(CRIATURAS!C3:C34="activo"))&gt;0,INDEX(CRIATURAS!B3:B34,MATCH(1,(CRIATURAS!D3:D34=2)*(CRIATURAS!E3:E34=6)*(CRIATURAS!C3:C34="activo"),0)),IF(COUNTIFS(EXPLORADORES!H2:H61,2,EXPLORADORES!I2:I61,6,EXPLORADORES!G2:G61,"&lt;&gt;Eliminado")&gt;0,"Exp x"&amp;COUNTIFS(EXPLORADORES!H2:H61,2,EXPLORADORES!I2:I61,6,EXPLORADORES!G2:G61,"&lt;&gt;Eliminado"),"Mar"))),"Mar")</f>
        <v>Mar</v>
      </c>
      <c r="H5" s="7" t="str">
        <f aca="false">IFERROR(IF(SUMPRODUCT((TILES!G3:G42=2)*(TILES!H3:H42=7)*(TILES!E3:E42="en juego"))&gt;0,INDEX(TILES!B3:B42,MATCH(1,(TILES!G3:G42=2)*(TILES!H3:H42=7)*(TILES!E3:E42="en juego"),0)),IF(SUMPRODUCT((CRIATURAS!D3:D34=2)*(CRIATURAS!E3:E34=7)*(CRIATURAS!C3:C34="activo"))&gt;0,INDEX(CRIATURAS!B3:B34,MATCH(1,(CRIATURAS!D3:D34=2)*(CRIATURAS!E3:E34=7)*(CRIATURAS!C3:C34="activo"),0)),IF(COUNTIFS(EXPLORADORES!H2:H61,2,EXPLORADORES!I2:I61,7,EXPLORADORES!G2:G61,"&lt;&gt;Eliminado")&gt;0,"Exp x"&amp;COUNTIFS(EXPLORADORES!H2:H61,2,EXPLORADORES!I2:I61,7,EXPLORADORES!G2:G61,"&lt;&gt;Eliminado"),"Mar"))),"Mar")</f>
        <v>Mar</v>
      </c>
      <c r="I5" s="7" t="str">
        <f aca="false">IFERROR(IF(SUMPRODUCT((TILES!G3:G42=2)*(TILES!H3:H42=8)*(TILES!E3:E42="en juego"))&gt;0,INDEX(TILES!B3:B42,MATCH(1,(TILES!G3:G42=2)*(TILES!H3:H42=8)*(TILES!E3:E42="en juego"),0)),IF(SUMPRODUCT((CRIATURAS!D3:D34=2)*(CRIATURAS!E3:E34=8)*(CRIATURAS!C3:C34="activo"))&gt;0,INDEX(CRIATURAS!B3:B34,MATCH(1,(CRIATURAS!D3:D34=2)*(CRIATURAS!E3:E34=8)*(CRIATURAS!C3:C34="activo"),0)),IF(COUNTIFS(EXPLORADORES!H2:H61,2,EXPLORADORES!I2:I61,8,EXPLORADORES!G2:G61,"&lt;&gt;Eliminado")&gt;0,"Exp x"&amp;COUNTIFS(EXPLORADORES!H2:H61,2,EXPLORADORES!I2:I61,8,EXPLORADORES!G2:G61,"&lt;&gt;Eliminado"),"Mar"))),"Mar")</f>
        <v>Mar</v>
      </c>
      <c r="J5" s="7" t="str">
        <f aca="false">IFERROR(IF(SUMPRODUCT((TILES!G3:G42=2)*(TILES!H3:H42=9)*(TILES!E3:E42="en juego"))&gt;0,INDEX(TILES!B3:B42,MATCH(1,(TILES!G3:G42=2)*(TILES!H3:H42=9)*(TILES!E3:E42="en juego"),0)),IF(SUMPRODUCT((CRIATURAS!D3:D34=2)*(CRIATURAS!E3:E34=9)*(CRIATURAS!C3:C34="activo"))&gt;0,INDEX(CRIATURAS!B3:B34,MATCH(1,(CRIATURAS!D3:D34=2)*(CRIATURAS!E3:E34=9)*(CRIATURAS!C3:C34="activo"),0)),IF(COUNTIFS(EXPLORADORES!H2:H61,2,EXPLORADORES!I2:I61,9,EXPLORADORES!G2:G61,"&lt;&gt;Eliminado")&gt;0,"Exp x"&amp;COUNTIFS(EXPLORADORES!H2:H61,2,EXPLORADORES!I2:I61,9,EXPLORADORES!G2:G61,"&lt;&gt;Eliminado"),"Mar"))),"Mar")</f>
        <v>Mar</v>
      </c>
      <c r="K5" s="7" t="str">
        <f aca="false">IFERROR(IF(SUMPRODUCT((TILES!G3:G42=2)*(TILES!H3:H42=10)*(TILES!E3:E42="en juego"))&gt;0,INDEX(TILES!B3:B42,MATCH(1,(TILES!G3:G42=2)*(TILES!H3:H42=10)*(TILES!E3:E42="en juego"),0)),IF(SUMPRODUCT((CRIATURAS!D3:D34=2)*(CRIATURAS!E3:E34=10)*(CRIATURAS!C3:C34="activo"))&gt;0,INDEX(CRIATURAS!B3:B34,MATCH(1,(CRIATURAS!D3:D34=2)*(CRIATURAS!E3:E34=10)*(CRIATURAS!C3:C34="activo"),0)),IF(COUNTIFS(EXPLORADORES!H2:H61,2,EXPLORADORES!I2:I61,10,EXPLORADORES!G2:G61,"&lt;&gt;Eliminado")&gt;0,"Exp x"&amp;COUNTIFS(EXPLORADORES!H2:H61,2,EXPLORADORES!I2:I61,10,EXPLORADORES!G2:G61,"&lt;&gt;Eliminado"),"Mar"))),"Mar")</f>
        <v>Mar</v>
      </c>
    </row>
    <row r="6" customFormat="false" ht="31.5" hidden="false" customHeight="true" outlineLevel="0" collapsed="false">
      <c r="A6" s="5" t="s">
        <v>57</v>
      </c>
      <c r="B6" s="7" t="str">
        <f aca="false">IFERROR(IF(SUMPRODUCT((TILES!G3:G42=3)*(TILES!H3:H42=1)*(TILES!E3:E42="en juego"))&gt;0,INDEX(TILES!B3:B42,MATCH(1,(TILES!G3:G42=3)*(TILES!H3:H42=1)*(TILES!E3:E42="en juego"),0)),IF(SUMPRODUCT((CRIATURAS!D3:D34=3)*(CRIATURAS!E3:E34=1)*(CRIATURAS!C3:C34="activo"))&gt;0,INDEX(CRIATURAS!B3:B34,MATCH(1,(CRIATURAS!D3:D34=3)*(CRIATURAS!E3:E34=1)*(CRIATURAS!C3:C34="activo"),0)),IF(COUNTIFS(EXPLORADORES!H2:H61,3,EXPLORADORES!I2:I61,1,EXPLORADORES!G2:G61,"&lt;&gt;Eliminado")&gt;0,"Exp x"&amp;COUNTIFS(EXPLORADORES!H2:H61,3,EXPLORADORES!I2:I61,1,EXPLORADORES!G2:G61,"&lt;&gt;Eliminado"),"Mar"))),"Mar")</f>
        <v>Mar</v>
      </c>
      <c r="C6" s="7" t="str">
        <f aca="false">IFERROR(IF(SUMPRODUCT((TILES!G3:G42=3)*(TILES!H3:H42=2)*(TILES!E3:E42="en juego"))&gt;0,INDEX(TILES!B3:B42,MATCH(1,(TILES!G3:G42=3)*(TILES!H3:H42=2)*(TILES!E3:E42="en juego"),0)),IF(SUMPRODUCT((CRIATURAS!D3:D34=3)*(CRIATURAS!E3:E34=2)*(CRIATURAS!C3:C34="activo"))&gt;0,INDEX(CRIATURAS!B3:B34,MATCH(1,(CRIATURAS!D3:D34=3)*(CRIATURAS!E3:E34=2)*(CRIATURAS!C3:C34="activo"),0)),IF(COUNTIFS(EXPLORADORES!H2:H61,3,EXPLORADORES!I2:I61,2,EXPLORADORES!G2:G61,"&lt;&gt;Eliminado")&gt;0,"Exp x"&amp;COUNTIFS(EXPLORADORES!H2:H61,3,EXPLORADORES!I2:I61,2,EXPLORADORES!G2:G61,"&lt;&gt;Eliminado"),"Mar"))),"Mar")</f>
        <v>Mar</v>
      </c>
      <c r="D6" s="7" t="str">
        <f aca="false">IFERROR(IF(SUMPRODUCT((TILES!G3:G42=3)*(TILES!H3:H42=3)*(TILES!E3:E42="en juego"))&gt;0,INDEX(TILES!B3:B42,MATCH(1,(TILES!G3:G42=3)*(TILES!H3:H42=3)*(TILES!E3:E42="en juego"),0)),IF(SUMPRODUCT((CRIATURAS!D3:D34=3)*(CRIATURAS!E3:E34=3)*(CRIATURAS!C3:C34="activo"))&gt;0,INDEX(CRIATURAS!B3:B34,MATCH(1,(CRIATURAS!D3:D34=3)*(CRIATURAS!E3:E34=3)*(CRIATURAS!C3:C34="activo"),0)),IF(COUNTIFS(EXPLORADORES!H2:H61,3,EXPLORADORES!I2:I61,3,EXPLORADORES!G2:G61,"&lt;&gt;Eliminado")&gt;0,"Exp x"&amp;COUNTIFS(EXPLORADORES!H2:H61,3,EXPLORADORES!I2:I61,3,EXPLORADORES!G2:G61,"&lt;&gt;Eliminado"),"Mar"))),"Mar")</f>
        <v>Playa</v>
      </c>
      <c r="E6" s="7" t="str">
        <f aca="false">IFERROR(IF(SUMPRODUCT((TILES!G3:G42=3)*(TILES!H3:H42=4)*(TILES!E3:E42="en juego"))&gt;0,INDEX(TILES!B3:B42,MATCH(1,(TILES!G3:G42=3)*(TILES!H3:H42=4)*(TILES!E3:E42="en juego"),0)),IF(SUMPRODUCT((CRIATURAS!D3:D34=3)*(CRIATURAS!E3:E34=4)*(CRIATURAS!C3:C34="activo"))&gt;0,INDEX(CRIATURAS!B3:B34,MATCH(1,(CRIATURAS!D3:D34=3)*(CRIATURAS!E3:E34=4)*(CRIATURAS!C3:C34="activo"),0)),IF(COUNTIFS(EXPLORADORES!H2:H61,3,EXPLORADORES!I2:I61,4,EXPLORADORES!G2:G61,"&lt;&gt;Eliminado")&gt;0,"Exp x"&amp;COUNTIFS(EXPLORADORES!H2:H61,3,EXPLORADORES!I2:I61,4,EXPLORADORES!G2:G61,"&lt;&gt;Eliminado"),"Mar"))),"Mar")</f>
        <v>Playa</v>
      </c>
      <c r="F6" s="7" t="str">
        <f aca="false">IFERROR(IF(SUMPRODUCT((TILES!G3:G42=3)*(TILES!H3:H42=5)*(TILES!E3:E42="en juego"))&gt;0,INDEX(TILES!B3:B42,MATCH(1,(TILES!G3:G42=3)*(TILES!H3:H42=5)*(TILES!E3:E42="en juego"),0)),IF(SUMPRODUCT((CRIATURAS!D3:D34=3)*(CRIATURAS!E3:E34=5)*(CRIATURAS!C3:C34="activo"))&gt;0,INDEX(CRIATURAS!B3:B34,MATCH(1,(CRIATURAS!D3:D34=3)*(CRIATURAS!E3:E34=5)*(CRIATURAS!C3:C34="activo"),0)),IF(COUNTIFS(EXPLORADORES!H2:H61,3,EXPLORADORES!I2:I61,5,EXPLORADORES!G2:G61,"&lt;&gt;Eliminado")&gt;0,"Exp x"&amp;COUNTIFS(EXPLORADORES!H2:H61,3,EXPLORADORES!I2:I61,5,EXPLORADORES!G2:G61,"&lt;&gt;Eliminado"),"Mar"))),"Mar")</f>
        <v>Playa</v>
      </c>
      <c r="G6" s="7" t="str">
        <f aca="false">IFERROR(IF(SUMPRODUCT((TILES!G3:G42=3)*(TILES!H3:H42=6)*(TILES!E3:E42="en juego"))&gt;0,INDEX(TILES!B3:B42,MATCH(1,(TILES!G3:G42=3)*(TILES!H3:H42=6)*(TILES!E3:E42="en juego"),0)),IF(SUMPRODUCT((CRIATURAS!D3:D34=3)*(CRIATURAS!E3:E34=6)*(CRIATURAS!C3:C34="activo"))&gt;0,INDEX(CRIATURAS!B3:B34,MATCH(1,(CRIATURAS!D3:D34=3)*(CRIATURAS!E3:E34=6)*(CRIATURAS!C3:C34="activo"),0)),IF(COUNTIFS(EXPLORADORES!H2:H61,3,EXPLORADORES!I2:I61,6,EXPLORADORES!G2:G61,"&lt;&gt;Eliminado")&gt;0,"Exp x"&amp;COUNTIFS(EXPLORADORES!H2:H61,3,EXPLORADORES!I2:I61,6,EXPLORADORES!G2:G61,"&lt;&gt;Eliminado"),"Mar"))),"Mar")</f>
        <v>Montana</v>
      </c>
      <c r="H6" s="7" t="str">
        <f aca="false">IFERROR(IF(SUMPRODUCT((TILES!G3:G42=3)*(TILES!H3:H42=7)*(TILES!E3:E42="en juego"))&gt;0,INDEX(TILES!B3:B42,MATCH(1,(TILES!G3:G42=3)*(TILES!H3:H42=7)*(TILES!E3:E42="en juego"),0)),IF(SUMPRODUCT((CRIATURAS!D3:D34=3)*(CRIATURAS!E3:E34=7)*(CRIATURAS!C3:C34="activo"))&gt;0,INDEX(CRIATURAS!B3:B34,MATCH(1,(CRIATURAS!D3:D34=3)*(CRIATURAS!E3:E34=7)*(CRIATURAS!C3:C34="activo"),0)),IF(COUNTIFS(EXPLORADORES!H2:H61,3,EXPLORADORES!I2:I61,7,EXPLORADORES!G2:G61,"&lt;&gt;Eliminado")&gt;0,"Exp x"&amp;COUNTIFS(EXPLORADORES!H2:H61,3,EXPLORADORES!I2:I61,7,EXPLORADORES!G2:G61,"&lt;&gt;Eliminado"),"Mar"))),"Mar")</f>
        <v>Bosque</v>
      </c>
      <c r="I6" s="7" t="str">
        <f aca="false">IFERROR(IF(SUMPRODUCT((TILES!G3:G42=3)*(TILES!H3:H42=8)*(TILES!E3:E42="en juego"))&gt;0,INDEX(TILES!B3:B42,MATCH(1,(TILES!G3:G42=3)*(TILES!H3:H42=8)*(TILES!E3:E42="en juego"),0)),IF(SUMPRODUCT((CRIATURAS!D3:D34=3)*(CRIATURAS!E3:E34=8)*(CRIATURAS!C3:C34="activo"))&gt;0,INDEX(CRIATURAS!B3:B34,MATCH(1,(CRIATURAS!D3:D34=3)*(CRIATURAS!E3:E34=8)*(CRIATURAS!C3:C34="activo"),0)),IF(COUNTIFS(EXPLORADORES!H2:H61,3,EXPLORADORES!I2:I61,8,EXPLORADORES!G2:G61,"&lt;&gt;Eliminado")&gt;0,"Exp x"&amp;COUNTIFS(EXPLORADORES!H2:H61,3,EXPLORADORES!I2:I61,8,EXPLORADORES!G2:G61,"&lt;&gt;Eliminado"),"Mar"))),"Mar")</f>
        <v>Bosque</v>
      </c>
      <c r="J6" s="7" t="str">
        <f aca="false">IFERROR(IF(SUMPRODUCT((TILES!G3:G42=3)*(TILES!H3:H42=9)*(TILES!E3:E42="en juego"))&gt;0,INDEX(TILES!B3:B42,MATCH(1,(TILES!G3:G42=3)*(TILES!H3:H42=9)*(TILES!E3:E42="en juego"),0)),IF(SUMPRODUCT((CRIATURAS!D3:D34=3)*(CRIATURAS!E3:E34=9)*(CRIATURAS!C3:C34="activo"))&gt;0,INDEX(CRIATURAS!B3:B34,MATCH(1,(CRIATURAS!D3:D34=3)*(CRIATURAS!E3:E34=9)*(CRIATURAS!C3:C34="activo"),0)),IF(COUNTIFS(EXPLORADORES!H2:H61,3,EXPLORADORES!I2:I61,9,EXPLORADORES!G2:G61,"&lt;&gt;Eliminado")&gt;0,"Exp x"&amp;COUNTIFS(EXPLORADORES!H2:H61,3,EXPLORADORES!I2:I61,9,EXPLORADORES!G2:G61,"&lt;&gt;Eliminado"),"Mar"))),"Mar")</f>
        <v>Bosque</v>
      </c>
      <c r="K6" s="7" t="str">
        <f aca="false">IFERROR(IF(SUMPRODUCT((TILES!G3:G42=3)*(TILES!H3:H42=10)*(TILES!E3:E42="en juego"))&gt;0,INDEX(TILES!B3:B42,MATCH(1,(TILES!G3:G42=3)*(TILES!H3:H42=10)*(TILES!E3:E42="en juego"),0)),IF(SUMPRODUCT((CRIATURAS!D3:D34=3)*(CRIATURAS!E3:E34=10)*(CRIATURAS!C3:C34="activo"))&gt;0,INDEX(CRIATURAS!B3:B34,MATCH(1,(CRIATURAS!D3:D34=3)*(CRIATURAS!E3:E34=10)*(CRIATURAS!C3:C34="activo"),0)),IF(COUNTIFS(EXPLORADORES!H2:H61,3,EXPLORADORES!I2:I61,10,EXPLORADORES!G2:G61,"&lt;&gt;Eliminado")&gt;0,"Exp x"&amp;COUNTIFS(EXPLORADORES!H2:H61,3,EXPLORADORES!I2:I61,10,EXPLORADORES!G2:G61,"&lt;&gt;Eliminado"),"Mar"))),"Mar")</f>
        <v>Playa</v>
      </c>
    </row>
    <row r="7" customFormat="false" ht="31.5" hidden="false" customHeight="true" outlineLevel="0" collapsed="false">
      <c r="A7" s="5" t="s">
        <v>58</v>
      </c>
      <c r="B7" s="7" t="str">
        <f aca="false">IFERROR(IF(SUMPRODUCT((TILES!G3:G42=4)*(TILES!H3:H42=1)*(TILES!E3:E42="en juego"))&gt;0,INDEX(TILES!B3:B42,MATCH(1,(TILES!G3:G42=4)*(TILES!H3:H42=1)*(TILES!E3:E42="en juego"),0)),IF(SUMPRODUCT((CRIATURAS!D3:D34=4)*(CRIATURAS!E3:E34=1)*(CRIATURAS!C3:C34="activo"))&gt;0,INDEX(CRIATURAS!B3:B34,MATCH(1,(CRIATURAS!D3:D34=4)*(CRIATURAS!E3:E34=1)*(CRIATURAS!C3:C34="activo"),0)),IF(COUNTIFS(EXPLORADORES!H2:H61,4,EXPLORADORES!I2:I61,1,EXPLORADORES!G2:G61,"&lt;&gt;Eliminado")&gt;0,"Exp x"&amp;COUNTIFS(EXPLORADORES!H2:H61,4,EXPLORADORES!I2:I61,1,EXPLORADORES!G2:G61,"&lt;&gt;Eliminado"),"Mar"))),"Mar")</f>
        <v>Serpiente</v>
      </c>
      <c r="C7" s="7" t="str">
        <f aca="false">IFERROR(IF(SUMPRODUCT((TILES!G3:G42=4)*(TILES!H3:H42=2)*(TILES!E3:E42="en juego"))&gt;0,INDEX(TILES!B3:B42,MATCH(1,(TILES!G3:G42=4)*(TILES!H3:H42=2)*(TILES!E3:E42="en juego"),0)),IF(SUMPRODUCT((CRIATURAS!D3:D34=4)*(CRIATURAS!E3:E34=2)*(CRIATURAS!C3:C34="activo"))&gt;0,INDEX(CRIATURAS!B3:B34,MATCH(1,(CRIATURAS!D3:D34=4)*(CRIATURAS!E3:E34=2)*(CRIATURAS!C3:C34="activo"),0)),IF(COUNTIFS(EXPLORADORES!H2:H61,4,EXPLORADORES!I2:I61,2,EXPLORADORES!G2:G61,"&lt;&gt;Eliminado")&gt;0,"Exp x"&amp;COUNTIFS(EXPLORADORES!H2:H61,4,EXPLORADORES!I2:I61,2,EXPLORADORES!G2:G61,"&lt;&gt;Eliminado"),"Mar"))),"Mar")</f>
        <v>Mar</v>
      </c>
      <c r="D7" s="7" t="str">
        <f aca="false">IFERROR(IF(SUMPRODUCT((TILES!G3:G42=4)*(TILES!H3:H42=3)*(TILES!E3:E42="en juego"))&gt;0,INDEX(TILES!B3:B42,MATCH(1,(TILES!G3:G42=4)*(TILES!H3:H42=3)*(TILES!E3:E42="en juego"),0)),IF(SUMPRODUCT((CRIATURAS!D3:D34=4)*(CRIATURAS!E3:E34=3)*(CRIATURAS!C3:C34="activo"))&gt;0,INDEX(CRIATURAS!B3:B34,MATCH(1,(CRIATURAS!D3:D34=4)*(CRIATURAS!E3:E34=3)*(CRIATURAS!C3:C34="activo"),0)),IF(COUNTIFS(EXPLORADORES!H2:H61,4,EXPLORADORES!I2:I61,3,EXPLORADORES!G2:G61,"&lt;&gt;Eliminado")&gt;0,"Exp x"&amp;COUNTIFS(EXPLORADORES!H2:H61,4,EXPLORADORES!I2:I61,3,EXPLORADORES!G2:G61,"&lt;&gt;Eliminado"),"Mar"))),"Mar")</f>
        <v>Playa</v>
      </c>
      <c r="E7" s="7" t="str">
        <f aca="false">IFERROR(IF(SUMPRODUCT((TILES!G3:G42=4)*(TILES!H3:H42=4)*(TILES!E3:E42="en juego"))&gt;0,INDEX(TILES!B3:B42,MATCH(1,(TILES!G3:G42=4)*(TILES!H3:H42=4)*(TILES!E3:E42="en juego"),0)),IF(SUMPRODUCT((CRIATURAS!D3:D34=4)*(CRIATURAS!E3:E34=4)*(CRIATURAS!C3:C34="activo"))&gt;0,INDEX(CRIATURAS!B3:B34,MATCH(1,(CRIATURAS!D3:D34=4)*(CRIATURAS!E3:E34=4)*(CRIATURAS!C3:C34="activo"),0)),IF(COUNTIFS(EXPLORADORES!H2:H61,4,EXPLORADORES!I2:I61,4,EXPLORADORES!G2:G61,"&lt;&gt;Eliminado")&gt;0,"Exp x"&amp;COUNTIFS(EXPLORADORES!H2:H61,4,EXPLORADORES!I2:I61,4,EXPLORADORES!G2:G61,"&lt;&gt;Eliminado"),"Mar"))),"Mar")</f>
        <v>Montana</v>
      </c>
      <c r="F7" s="7" t="str">
        <f aca="false">IFERROR(IF(SUMPRODUCT((TILES!G3:G42=4)*(TILES!H3:H42=5)*(TILES!E3:E42="en juego"))&gt;0,INDEX(TILES!B3:B42,MATCH(1,(TILES!G3:G42=4)*(TILES!H3:H42=5)*(TILES!E3:E42="en juego"),0)),IF(SUMPRODUCT((CRIATURAS!D3:D34=4)*(CRIATURAS!E3:E34=5)*(CRIATURAS!C3:C34="activo"))&gt;0,INDEX(CRIATURAS!B3:B34,MATCH(1,(CRIATURAS!D3:D34=4)*(CRIATURAS!E3:E34=5)*(CRIATURAS!C3:C34="activo"),0)),IF(COUNTIFS(EXPLORADORES!H2:H61,4,EXPLORADORES!I2:I61,5,EXPLORADORES!G2:G61,"&lt;&gt;Eliminado")&gt;0,"Exp x"&amp;COUNTIFS(EXPLORADORES!H2:H61,4,EXPLORADORES!I2:I61,5,EXPLORADORES!G2:G61,"&lt;&gt;Eliminado"),"Mar"))),"Mar")</f>
        <v>Bosque</v>
      </c>
      <c r="G7" s="7" t="str">
        <f aca="false">IFERROR(IF(SUMPRODUCT((TILES!G3:G42=4)*(TILES!H3:H42=6)*(TILES!E3:E42="en juego"))&gt;0,INDEX(TILES!B3:B42,MATCH(1,(TILES!G3:G42=4)*(TILES!H3:H42=6)*(TILES!E3:E42="en juego"),0)),IF(SUMPRODUCT((CRIATURAS!D3:D34=4)*(CRIATURAS!E3:E34=6)*(CRIATURAS!C3:C34="activo"))&gt;0,INDEX(CRIATURAS!B3:B34,MATCH(1,(CRIATURAS!D3:D34=4)*(CRIATURAS!E3:E34=6)*(CRIATURAS!C3:C34="activo"),0)),IF(COUNTIFS(EXPLORADORES!H2:H61,4,EXPLORADORES!I2:I61,6,EXPLORADORES!G2:G61,"&lt;&gt;Eliminado")&gt;0,"Exp x"&amp;COUNTIFS(EXPLORADORES!H2:H61,4,EXPLORADORES!I2:I61,6,EXPLORADORES!G2:G61,"&lt;&gt;Eliminado"),"Mar"))),"Mar")</f>
        <v>Bosque</v>
      </c>
      <c r="H7" s="7" t="str">
        <f aca="false">IFERROR(IF(SUMPRODUCT((TILES!G3:G42=4)*(TILES!H3:H42=7)*(TILES!E3:E42="en juego"))&gt;0,INDEX(TILES!B3:B42,MATCH(1,(TILES!G3:G42=4)*(TILES!H3:H42=7)*(TILES!E3:E42="en juego"),0)),IF(SUMPRODUCT((CRIATURAS!D3:D34=4)*(CRIATURAS!E3:E34=7)*(CRIATURAS!C3:C34="activo"))&gt;0,INDEX(CRIATURAS!B3:B34,MATCH(1,(CRIATURAS!D3:D34=4)*(CRIATURAS!E3:E34=7)*(CRIATURAS!C3:C34="activo"),0)),IF(COUNTIFS(EXPLORADORES!H2:H61,4,EXPLORADORES!I2:I61,7,EXPLORADORES!G2:G61,"&lt;&gt;Eliminado")&gt;0,"Exp x"&amp;COUNTIFS(EXPLORADORES!H2:H61,4,EXPLORADORES!I2:I61,7,EXPLORADORES!G2:G61,"&lt;&gt;Eliminado"),"Mar"))),"Mar")</f>
        <v>Bosque</v>
      </c>
      <c r="I7" s="7" t="str">
        <f aca="false">IFERROR(IF(SUMPRODUCT((TILES!G3:G42=4)*(TILES!H3:H42=8)*(TILES!E3:E42="en juego"))&gt;0,INDEX(TILES!B3:B42,MATCH(1,(TILES!G3:G42=4)*(TILES!H3:H42=8)*(TILES!E3:E42="en juego"),0)),IF(SUMPRODUCT((CRIATURAS!D3:D34=4)*(CRIATURAS!E3:E34=8)*(CRIATURAS!C3:C34="activo"))&gt;0,INDEX(CRIATURAS!B3:B34,MATCH(1,(CRIATURAS!D3:D34=4)*(CRIATURAS!E3:E34=8)*(CRIATURAS!C3:C34="activo"),0)),IF(COUNTIFS(EXPLORADORES!H2:H61,4,EXPLORADORES!I2:I61,8,EXPLORADORES!G2:G61,"&lt;&gt;Eliminado")&gt;0,"Exp x"&amp;COUNTIFS(EXPLORADORES!H2:H61,4,EXPLORADORES!I2:I61,8,EXPLORADORES!G2:G61,"&lt;&gt;Eliminado"),"Mar"))),"Mar")</f>
        <v>Bosque</v>
      </c>
      <c r="J7" s="7" t="str">
        <f aca="false">IFERROR(IF(SUMPRODUCT((TILES!G3:G42=4)*(TILES!H3:H42=9)*(TILES!E3:E42="en juego"))&gt;0,INDEX(TILES!B3:B42,MATCH(1,(TILES!G3:G42=4)*(TILES!H3:H42=9)*(TILES!E3:E42="en juego"),0)),IF(SUMPRODUCT((CRIATURAS!D3:D34=4)*(CRIATURAS!E3:E34=9)*(CRIATURAS!C3:C34="activo"))&gt;0,INDEX(CRIATURAS!B3:B34,MATCH(1,(CRIATURAS!D3:D34=4)*(CRIATURAS!E3:E34=9)*(CRIATURAS!C3:C34="activo"),0)),IF(COUNTIFS(EXPLORADORES!H2:H61,4,EXPLORADORES!I2:I61,9,EXPLORADORES!G2:G61,"&lt;&gt;Eliminado")&gt;0,"Exp x"&amp;COUNTIFS(EXPLORADORES!H2:H61,4,EXPLORADORES!I2:I61,9,EXPLORADORES!G2:G61,"&lt;&gt;Eliminado"),"Mar"))),"Mar")</f>
        <v>Playa</v>
      </c>
      <c r="K7" s="7" t="str">
        <f aca="false">IFERROR(IF(SUMPRODUCT((TILES!G3:G42=4)*(TILES!H3:H42=10)*(TILES!E3:E42="en juego"))&gt;0,INDEX(TILES!B3:B42,MATCH(1,(TILES!G3:G42=4)*(TILES!H3:H42=10)*(TILES!E3:E42="en juego"),0)),IF(SUMPRODUCT((CRIATURAS!D3:D34=4)*(CRIATURAS!E3:E34=10)*(CRIATURAS!C3:C34="activo"))&gt;0,INDEX(CRIATURAS!B3:B34,MATCH(1,(CRIATURAS!D3:D34=4)*(CRIATURAS!E3:E34=10)*(CRIATURAS!C3:C34="activo"),0)),IF(COUNTIFS(EXPLORADORES!H2:H61,4,EXPLORADORES!I2:I61,10,EXPLORADORES!G2:G61,"&lt;&gt;Eliminado")&gt;0,"Exp x"&amp;COUNTIFS(EXPLORADORES!H2:H61,4,EXPLORADORES!I2:I61,10,EXPLORADORES!G2:G61,"&lt;&gt;Eliminado"),"Mar"))),"Mar")</f>
        <v>Montana</v>
      </c>
    </row>
    <row r="8" customFormat="false" ht="31.5" hidden="false" customHeight="true" outlineLevel="0" collapsed="false">
      <c r="A8" s="5" t="s">
        <v>59</v>
      </c>
      <c r="B8" s="7" t="str">
        <f aca="false">IFERROR(IF(SUMPRODUCT((TILES!G3:G42=5)*(TILES!H3:H42=1)*(TILES!E3:E42="en juego"))&gt;0,INDEX(TILES!B3:B42,MATCH(1,(TILES!G3:G42=5)*(TILES!H3:H42=1)*(TILES!E3:E42="en juego"),0)),IF(SUMPRODUCT((CRIATURAS!D3:D34=5)*(CRIATURAS!E3:E34=1)*(CRIATURAS!C3:C34="activo"))&gt;0,INDEX(CRIATURAS!B3:B34,MATCH(1,(CRIATURAS!D3:D34=5)*(CRIATURAS!E3:E34=1)*(CRIATURAS!C3:C34="activo"),0)),IF(COUNTIFS(EXPLORADORES!H2:H61,5,EXPLORADORES!I2:I61,1,EXPLORADORES!G2:G61,"&lt;&gt;Eliminado")&gt;0,"Exp x"&amp;COUNTIFS(EXPLORADORES!H2:H61,5,EXPLORADORES!I2:I61,1,EXPLORADORES!G2:G61,"&lt;&gt;Eliminado"),"Mar"))),"Mar")</f>
        <v>Mar</v>
      </c>
      <c r="C8" s="7" t="str">
        <f aca="false">IFERROR(IF(SUMPRODUCT((TILES!G3:G42=5)*(TILES!H3:H42=2)*(TILES!E3:E42="en juego"))&gt;0,INDEX(TILES!B3:B42,MATCH(1,(TILES!G3:G42=5)*(TILES!H3:H42=2)*(TILES!E3:E42="en juego"),0)),IF(SUMPRODUCT((CRIATURAS!D3:D34=5)*(CRIATURAS!E3:E34=2)*(CRIATURAS!C3:C34="activo"))&gt;0,INDEX(CRIATURAS!B3:B34,MATCH(1,(CRIATURAS!D3:D34=5)*(CRIATURAS!E3:E34=2)*(CRIATURAS!C3:C34="activo"),0)),IF(COUNTIFS(EXPLORADORES!H2:H61,5,EXPLORADORES!I2:I61,2,EXPLORADORES!G2:G61,"&lt;&gt;Eliminado")&gt;0,"Exp x"&amp;COUNTIFS(EXPLORADORES!H2:H61,5,EXPLORADORES!I2:I61,2,EXPLORADORES!G2:G61,"&lt;&gt;Eliminado"),"Mar"))),"Mar")</f>
        <v>Mar</v>
      </c>
      <c r="D8" s="7" t="str">
        <f aca="false">IFERROR(IF(SUMPRODUCT((TILES!G3:G42=5)*(TILES!H3:H42=3)*(TILES!E3:E42="en juego"))&gt;0,INDEX(TILES!B3:B42,MATCH(1,(TILES!G3:G42=5)*(TILES!H3:H42=3)*(TILES!E3:E42="en juego"),0)),IF(SUMPRODUCT((CRIATURAS!D3:D34=5)*(CRIATURAS!E3:E34=3)*(CRIATURAS!C3:C34="activo"))&gt;0,INDEX(CRIATURAS!B3:B34,MATCH(1,(CRIATURAS!D3:D34=5)*(CRIATURAS!E3:E34=3)*(CRIATURAS!C3:C34="activo"),0)),IF(COUNTIFS(EXPLORADORES!H2:H61,5,EXPLORADORES!I2:I61,3,EXPLORADORES!G2:G61,"&lt;&gt;Eliminado")&gt;0,"Exp x"&amp;COUNTIFS(EXPLORADORES!H2:H61,5,EXPLORADORES!I2:I61,3,EXPLORADORES!G2:G61,"&lt;&gt;Eliminado"),"Mar"))),"Mar")</f>
        <v>Montana</v>
      </c>
      <c r="E8" s="7" t="str">
        <f aca="false">IFERROR(IF(SUMPRODUCT((TILES!G3:G42=5)*(TILES!H3:H42=4)*(TILES!E3:E42="en juego"))&gt;0,INDEX(TILES!B3:B42,MATCH(1,(TILES!G3:G42=5)*(TILES!H3:H42=4)*(TILES!E3:E42="en juego"),0)),IF(SUMPRODUCT((CRIATURAS!D3:D34=5)*(CRIATURAS!E3:E34=4)*(CRIATURAS!C3:C34="activo"))&gt;0,INDEX(CRIATURAS!B3:B34,MATCH(1,(CRIATURAS!D3:D34=5)*(CRIATURAS!E3:E34=4)*(CRIATURAS!C3:C34="activo"),0)),IF(COUNTIFS(EXPLORADORES!H2:H61,5,EXPLORADORES!I2:I61,4,EXPLORADORES!G2:G61,"&lt;&gt;Eliminado")&gt;0,"Exp x"&amp;COUNTIFS(EXPLORADORES!H2:H61,5,EXPLORADORES!I2:I61,4,EXPLORADORES!G2:G61,"&lt;&gt;Eliminado"),"Mar"))),"Mar")</f>
        <v>Bosque</v>
      </c>
      <c r="F8" s="7" t="str">
        <f aca="false">IFERROR(IF(SUMPRODUCT((TILES!G3:G42=5)*(TILES!H3:H42=5)*(TILES!E3:E42="en juego"))&gt;0,INDEX(TILES!B3:B42,MATCH(1,(TILES!G3:G42=5)*(TILES!H3:H42=5)*(TILES!E3:E42="en juego"),0)),IF(SUMPRODUCT((CRIATURAS!D3:D34=5)*(CRIATURAS!E3:E34=5)*(CRIATURAS!C3:C34="activo"))&gt;0,INDEX(CRIATURAS!B3:B34,MATCH(1,(CRIATURAS!D3:D34=5)*(CRIATURAS!E3:E34=5)*(CRIATURAS!C3:C34="activo"),0)),IF(COUNTIFS(EXPLORADORES!H2:H61,5,EXPLORADORES!I2:I61,5,EXPLORADORES!G2:G61,"&lt;&gt;Eliminado")&gt;0,"Exp x"&amp;COUNTIFS(EXPLORADORES!H2:H61,5,EXPLORADORES!I2:I61,5,EXPLORADORES!G2:G61,"&lt;&gt;Eliminado"),"Mar"))),"Mar")</f>
        <v>Playa</v>
      </c>
      <c r="G8" s="7" t="str">
        <f aca="false">IFERROR(IF(SUMPRODUCT((TILES!G3:G42=5)*(TILES!H3:H42=6)*(TILES!E3:E42="en juego"))&gt;0,INDEX(TILES!B3:B42,MATCH(1,(TILES!G3:G42=5)*(TILES!H3:H42=6)*(TILES!E3:E42="en juego"),0)),IF(SUMPRODUCT((CRIATURAS!D3:D34=5)*(CRIATURAS!E3:E34=6)*(CRIATURAS!C3:C34="activo"))&gt;0,INDEX(CRIATURAS!B3:B34,MATCH(1,(CRIATURAS!D3:D34=5)*(CRIATURAS!E3:E34=6)*(CRIATURAS!C3:C34="activo"),0)),IF(COUNTIFS(EXPLORADORES!H2:H61,5,EXPLORADORES!I2:I61,6,EXPLORADORES!G2:G61,"&lt;&gt;Eliminado")&gt;0,"Exp x"&amp;COUNTIFS(EXPLORADORES!H2:H61,5,EXPLORADORES!I2:I61,6,EXPLORADORES!G2:G61,"&lt;&gt;Eliminado"),"Mar"))),"Mar")</f>
        <v>Bosque</v>
      </c>
      <c r="H8" s="7" t="str">
        <f aca="false">IFERROR(IF(SUMPRODUCT((TILES!G3:G42=5)*(TILES!H3:H42=7)*(TILES!E3:E42="en juego"))&gt;0,INDEX(TILES!B3:B42,MATCH(1,(TILES!G3:G42=5)*(TILES!H3:H42=7)*(TILES!E3:E42="en juego"),0)),IF(SUMPRODUCT((CRIATURAS!D3:D34=5)*(CRIATURAS!E3:E34=7)*(CRIATURAS!C3:C34="activo"))&gt;0,INDEX(CRIATURAS!B3:B34,MATCH(1,(CRIATURAS!D3:D34=5)*(CRIATURAS!E3:E34=7)*(CRIATURAS!C3:C34="activo"),0)),IF(COUNTIFS(EXPLORADORES!H2:H61,5,EXPLORADORES!I2:I61,7,EXPLORADORES!G2:G61,"&lt;&gt;Eliminado")&gt;0,"Exp x"&amp;COUNTIFS(EXPLORADORES!H2:H61,5,EXPLORADORES!I2:I61,7,EXPLORADORES!G2:G61,"&lt;&gt;Eliminado"),"Mar"))),"Mar")</f>
        <v>Bosque</v>
      </c>
      <c r="I8" s="7" t="str">
        <f aca="false">IFERROR(IF(SUMPRODUCT((TILES!G3:G42=5)*(TILES!H3:H42=8)*(TILES!E3:E42="en juego"))&gt;0,INDEX(TILES!B3:B42,MATCH(1,(TILES!G3:G42=5)*(TILES!H3:H42=8)*(TILES!E3:E42="en juego"),0)),IF(SUMPRODUCT((CRIATURAS!D3:D34=5)*(CRIATURAS!E3:E34=8)*(CRIATURAS!C3:C34="activo"))&gt;0,INDEX(CRIATURAS!B3:B34,MATCH(1,(CRIATURAS!D3:D34=5)*(CRIATURAS!E3:E34=8)*(CRIATURAS!C3:C34="activo"),0)),IF(COUNTIFS(EXPLORADORES!H2:H61,5,EXPLORADORES!I2:I61,8,EXPLORADORES!G2:G61,"&lt;&gt;Eliminado")&gt;0,"Exp x"&amp;COUNTIFS(EXPLORADORES!H2:H61,5,EXPLORADORES!I2:I61,8,EXPLORADORES!G2:G61,"&lt;&gt;Eliminado"),"Mar"))),"Mar")</f>
        <v>Bosque</v>
      </c>
      <c r="J8" s="7" t="str">
        <f aca="false">IFERROR(IF(SUMPRODUCT((TILES!G3:G42=5)*(TILES!H3:H42=9)*(TILES!E3:E42="en juego"))&gt;0,INDEX(TILES!B3:B42,MATCH(1,(TILES!G3:G42=5)*(TILES!H3:H42=9)*(TILES!E3:E42="en juego"),0)),IF(SUMPRODUCT((CRIATURAS!D3:D34=5)*(CRIATURAS!E3:E34=9)*(CRIATURAS!C3:C34="activo"))&gt;0,INDEX(CRIATURAS!B3:B34,MATCH(1,(CRIATURAS!D3:D34=5)*(CRIATURAS!E3:E34=9)*(CRIATURAS!C3:C34="activo"),0)),IF(COUNTIFS(EXPLORADORES!H2:H61,5,EXPLORADORES!I2:I61,9,EXPLORADORES!G2:G61,"&lt;&gt;Eliminado")&gt;0,"Exp x"&amp;COUNTIFS(EXPLORADORES!H2:H61,5,EXPLORADORES!I2:I61,9,EXPLORADORES!G2:G61,"&lt;&gt;Eliminado"),"Mar"))),"Mar")</f>
        <v>Montana</v>
      </c>
      <c r="K8" s="7" t="str">
        <f aca="false">IFERROR(IF(SUMPRODUCT((TILES!G3:G42=5)*(TILES!H3:H42=10)*(TILES!E3:E42="en juego"))&gt;0,INDEX(TILES!B3:B42,MATCH(1,(TILES!G3:G42=5)*(TILES!H3:H42=10)*(TILES!E3:E42="en juego"),0)),IF(SUMPRODUCT((CRIATURAS!D3:D34=5)*(CRIATURAS!E3:E34=10)*(CRIATURAS!C3:C34="activo"))&gt;0,INDEX(CRIATURAS!B3:B34,MATCH(1,(CRIATURAS!D3:D34=5)*(CRIATURAS!E3:E34=10)*(CRIATURAS!C3:C34="activo"),0)),IF(COUNTIFS(EXPLORADORES!H2:H61,5,EXPLORADORES!I2:I61,10,EXPLORADORES!G2:G61,"&lt;&gt;Eliminado")&gt;0,"Exp x"&amp;COUNTIFS(EXPLORADORES!H2:H61,5,EXPLORADORES!I2:I61,10,EXPLORADORES!G2:G61,"&lt;&gt;Eliminado"),"Mar"))),"Mar")</f>
        <v>Bosque</v>
      </c>
    </row>
    <row r="9" customFormat="false" ht="31.5" hidden="false" customHeight="true" outlineLevel="0" collapsed="false">
      <c r="A9" s="5" t="s">
        <v>60</v>
      </c>
      <c r="B9" s="7" t="str">
        <f aca="false">IFERROR(IF(SUMPRODUCT((TILES!G3:G42=6)*(TILES!H3:H42=1)*(TILES!E3:E42="en juego"))&gt;0,INDEX(TILES!B3:B42,MATCH(1,(TILES!G3:G42=6)*(TILES!H3:H42=1)*(TILES!E3:E42="en juego"),0)),IF(SUMPRODUCT((CRIATURAS!D3:D34=6)*(CRIATURAS!E3:E34=1)*(CRIATURAS!C3:C34="activo"))&gt;0,INDEX(CRIATURAS!B3:B34,MATCH(1,(CRIATURAS!D3:D34=6)*(CRIATURAS!E3:E34=1)*(CRIATURAS!C3:C34="activo"),0)),IF(COUNTIFS(EXPLORADORES!H2:H61,6,EXPLORADORES!I2:I61,1,EXPLORADORES!G2:G61,"&lt;&gt;Eliminado")&gt;0,"Exp x"&amp;COUNTIFS(EXPLORADORES!H2:H61,6,EXPLORADORES!I2:I61,1,EXPLORADORES!G2:G61,"&lt;&gt;Eliminado"),"Mar"))),"Mar")</f>
        <v>Mar</v>
      </c>
      <c r="C9" s="7" t="str">
        <f aca="false">IFERROR(IF(SUMPRODUCT((TILES!G3:G42=6)*(TILES!H3:H42=2)*(TILES!E3:E42="en juego"))&gt;0,INDEX(TILES!B3:B42,MATCH(1,(TILES!G3:G42=6)*(TILES!H3:H42=2)*(TILES!E3:E42="en juego"),0)),IF(SUMPRODUCT((CRIATURAS!D3:D34=6)*(CRIATURAS!E3:E34=2)*(CRIATURAS!C3:C34="activo"))&gt;0,INDEX(CRIATURAS!B3:B34,MATCH(1,(CRIATURAS!D3:D34=6)*(CRIATURAS!E3:E34=2)*(CRIATURAS!C3:C34="activo"),0)),IF(COUNTIFS(EXPLORADORES!H2:H61,6,EXPLORADORES!I2:I61,2,EXPLORADORES!G2:G61,"&lt;&gt;Eliminado")&gt;0,"Exp x"&amp;COUNTIFS(EXPLORADORES!H2:H61,6,EXPLORADORES!I2:I61,2,EXPLORADORES!G2:G61,"&lt;&gt;Eliminado"),"Mar"))),"Mar")</f>
        <v>Mar</v>
      </c>
      <c r="D9" s="7" t="str">
        <f aca="false">IFERROR(IF(SUMPRODUCT((TILES!G3:G42=6)*(TILES!H3:H42=3)*(TILES!E3:E42="en juego"))&gt;0,INDEX(TILES!B3:B42,MATCH(1,(TILES!G3:G42=6)*(TILES!H3:H42=3)*(TILES!E3:E42="en juego"),0)),IF(SUMPRODUCT((CRIATURAS!D3:D34=6)*(CRIATURAS!E3:E34=3)*(CRIATURAS!C3:C34="activo"))&gt;0,INDEX(CRIATURAS!B3:B34,MATCH(1,(CRIATURAS!D3:D34=6)*(CRIATURAS!E3:E34=3)*(CRIATURAS!C3:C34="activo"),0)),IF(COUNTIFS(EXPLORADORES!H2:H61,6,EXPLORADORES!I2:I61,3,EXPLORADORES!G2:G61,"&lt;&gt;Eliminado")&gt;0,"Exp x"&amp;COUNTIFS(EXPLORADORES!H2:H61,6,EXPLORADORES!I2:I61,3,EXPLORADORES!G2:G61,"&lt;&gt;Eliminado"),"Mar"))),"Mar")</f>
        <v>Bosque</v>
      </c>
      <c r="E9" s="7" t="str">
        <f aca="false">IFERROR(IF(SUMPRODUCT((TILES!G3:G42=6)*(TILES!H3:H42=4)*(TILES!E3:E42="en juego"))&gt;0,INDEX(TILES!B3:B42,MATCH(1,(TILES!G3:G42=6)*(TILES!H3:H42=4)*(TILES!E3:E42="en juego"),0)),IF(SUMPRODUCT((CRIATURAS!D3:D34=6)*(CRIATURAS!E3:E34=4)*(CRIATURAS!C3:C34="activo"))&gt;0,INDEX(CRIATURAS!B3:B34,MATCH(1,(CRIATURAS!D3:D34=6)*(CRIATURAS!E3:E34=4)*(CRIATURAS!C3:C34="activo"),0)),IF(COUNTIFS(EXPLORADORES!H2:H61,6,EXPLORADORES!I2:I61,4,EXPLORADORES!G2:G61,"&lt;&gt;Eliminado")&gt;0,"Exp x"&amp;COUNTIFS(EXPLORADORES!H2:H61,6,EXPLORADORES!I2:I61,4,EXPLORADORES!G2:G61,"&lt;&gt;Eliminado"),"Mar"))),"Mar")</f>
        <v>Bosque</v>
      </c>
      <c r="F9" s="7" t="str">
        <f aca="false">IFERROR(IF(SUMPRODUCT((TILES!G3:G42=6)*(TILES!H3:H42=5)*(TILES!E3:E42="en juego"))&gt;0,INDEX(TILES!B3:B42,MATCH(1,(TILES!G3:G42=6)*(TILES!H3:H42=5)*(TILES!E3:E42="en juego"),0)),IF(SUMPRODUCT((CRIATURAS!D3:D34=6)*(CRIATURAS!E3:E34=5)*(CRIATURAS!C3:C34="activo"))&gt;0,INDEX(CRIATURAS!B3:B34,MATCH(1,(CRIATURAS!D3:D34=6)*(CRIATURAS!E3:E34=5)*(CRIATURAS!C3:C34="activo"),0)),IF(COUNTIFS(EXPLORADORES!H2:H61,6,EXPLORADORES!I2:I61,5,EXPLORADORES!G2:G61,"&lt;&gt;Eliminado")&gt;0,"Exp x"&amp;COUNTIFS(EXPLORADORES!H2:H61,6,EXPLORADORES!I2:I61,5,EXPLORADORES!G2:G61,"&lt;&gt;Eliminado"),"Mar"))),"Mar")</f>
        <v>Montana</v>
      </c>
      <c r="G9" s="7" t="str">
        <f aca="false">IFERROR(IF(SUMPRODUCT((TILES!G3:G42=6)*(TILES!H3:H42=6)*(TILES!E3:E42="en juego"))&gt;0,INDEX(TILES!B3:B42,MATCH(1,(TILES!G3:G42=6)*(TILES!H3:H42=6)*(TILES!E3:E42="en juego"),0)),IF(SUMPRODUCT((CRIATURAS!D3:D34=6)*(CRIATURAS!E3:E34=6)*(CRIATURAS!C3:C34="activo"))&gt;0,INDEX(CRIATURAS!B3:B34,MATCH(1,(CRIATURAS!D3:D34=6)*(CRIATURAS!E3:E34=6)*(CRIATURAS!C3:C34="activo"),0)),IF(COUNTIFS(EXPLORADORES!H2:H61,6,EXPLORADORES!I2:I61,6,EXPLORADORES!G2:G61,"&lt;&gt;Eliminado")&gt;0,"Exp x"&amp;COUNTIFS(EXPLORADORES!H2:H61,6,EXPLORADORES!I2:I61,6,EXPLORADORES!G2:G61,"&lt;&gt;Eliminado"),"Mar"))),"Mar")</f>
        <v>Montana</v>
      </c>
      <c r="H9" s="7" t="str">
        <f aca="false">IFERROR(IF(SUMPRODUCT((TILES!G3:G42=6)*(TILES!H3:H42=7)*(TILES!E3:E42="en juego"))&gt;0,INDEX(TILES!B3:B42,MATCH(1,(TILES!G3:G42=6)*(TILES!H3:H42=7)*(TILES!E3:E42="en juego"),0)),IF(SUMPRODUCT((CRIATURAS!D3:D34=6)*(CRIATURAS!E3:E34=7)*(CRIATURAS!C3:C34="activo"))&gt;0,INDEX(CRIATURAS!B3:B34,MATCH(1,(CRIATURAS!D3:D34=6)*(CRIATURAS!E3:E34=7)*(CRIATURAS!C3:C34="activo"),0)),IF(COUNTIFS(EXPLORADORES!H2:H61,6,EXPLORADORES!I2:I61,7,EXPLORADORES!G2:G61,"&lt;&gt;Eliminado")&gt;0,"Exp x"&amp;COUNTIFS(EXPLORADORES!H2:H61,6,EXPLORADORES!I2:I61,7,EXPLORADORES!G2:G61,"&lt;&gt;Eliminado"),"Mar"))),"Mar")</f>
        <v>Playa</v>
      </c>
      <c r="I9" s="7" t="str">
        <f aca="false">IFERROR(IF(SUMPRODUCT((TILES!G3:G42=6)*(TILES!H3:H42=8)*(TILES!E3:E42="en juego"))&gt;0,INDEX(TILES!B3:B42,MATCH(1,(TILES!G3:G42=6)*(TILES!H3:H42=8)*(TILES!E3:E42="en juego"),0)),IF(SUMPRODUCT((CRIATURAS!D3:D34=6)*(CRIATURAS!E3:E34=8)*(CRIATURAS!C3:C34="activo"))&gt;0,INDEX(CRIATURAS!B3:B34,MATCH(1,(CRIATURAS!D3:D34=6)*(CRIATURAS!E3:E34=8)*(CRIATURAS!C3:C34="activo"),0)),IF(COUNTIFS(EXPLORADORES!H2:H61,6,EXPLORADORES!I2:I61,8,EXPLORADORES!G2:G61,"&lt;&gt;Eliminado")&gt;0,"Exp x"&amp;COUNTIFS(EXPLORADORES!H2:H61,6,EXPLORADORES!I2:I61,8,EXPLORADORES!G2:G61,"&lt;&gt;Eliminado"),"Mar"))),"Mar")</f>
        <v>Playa</v>
      </c>
      <c r="J9" s="7" t="str">
        <f aca="false">IFERROR(IF(SUMPRODUCT((TILES!G3:G42=6)*(TILES!H3:H42=9)*(TILES!E3:E42="en juego"))&gt;0,INDEX(TILES!B3:B42,MATCH(1,(TILES!G3:G42=6)*(TILES!H3:H42=9)*(TILES!E3:E42="en juego"),0)),IF(SUMPRODUCT((CRIATURAS!D3:D34=6)*(CRIATURAS!E3:E34=9)*(CRIATURAS!C3:C34="activo"))&gt;0,INDEX(CRIATURAS!B3:B34,MATCH(1,(CRIATURAS!D3:D34=6)*(CRIATURAS!E3:E34=9)*(CRIATURAS!C3:C34="activo"),0)),IF(COUNTIFS(EXPLORADORES!H2:H61,6,EXPLORADORES!I2:I61,9,EXPLORADORES!G2:G61,"&lt;&gt;Eliminado")&gt;0,"Exp x"&amp;COUNTIFS(EXPLORADORES!H2:H61,6,EXPLORADORES!I2:I61,9,EXPLORADORES!G2:G61,"&lt;&gt;Eliminado"),"Mar"))),"Mar")</f>
        <v>Montana</v>
      </c>
      <c r="K9" s="7" t="str">
        <f aca="false">IFERROR(IF(SUMPRODUCT((TILES!G3:G42=6)*(TILES!H3:H42=10)*(TILES!E3:E42="en juego"))&gt;0,INDEX(TILES!B3:B42,MATCH(1,(TILES!G3:G42=6)*(TILES!H3:H42=10)*(TILES!E3:E42="en juego"),0)),IF(SUMPRODUCT((CRIATURAS!D3:D34=6)*(CRIATURAS!E3:E34=10)*(CRIATURAS!C3:C34="activo"))&gt;0,INDEX(CRIATURAS!B3:B34,MATCH(1,(CRIATURAS!D3:D34=6)*(CRIATURAS!E3:E34=10)*(CRIATURAS!C3:C34="activo"),0)),IF(COUNTIFS(EXPLORADORES!H2:H61,6,EXPLORADORES!I2:I61,10,EXPLORADORES!G2:G61,"&lt;&gt;Eliminado")&gt;0,"Exp x"&amp;COUNTIFS(EXPLORADORES!H2:H61,6,EXPLORADORES!I2:I61,10,EXPLORADORES!G2:G61,"&lt;&gt;Eliminado"),"Mar"))),"Mar")</f>
        <v>Bosque</v>
      </c>
    </row>
    <row r="10" customFormat="false" ht="31.5" hidden="false" customHeight="true" outlineLevel="0" collapsed="false">
      <c r="A10" s="5" t="s">
        <v>61</v>
      </c>
      <c r="B10" s="7" t="str">
        <f aca="false">IFERROR(IF(SUMPRODUCT((TILES!G3:G42=7)*(TILES!H3:H42=1)*(TILES!E3:E42="en juego"))&gt;0,INDEX(TILES!B3:B42,MATCH(1,(TILES!G3:G42=7)*(TILES!H3:H42=1)*(TILES!E3:E42="en juego"),0)),IF(SUMPRODUCT((CRIATURAS!D3:D34=7)*(CRIATURAS!E3:E34=1)*(CRIATURAS!C3:C34="activo"))&gt;0,INDEX(CRIATURAS!B3:B34,MATCH(1,(CRIATURAS!D3:D34=7)*(CRIATURAS!E3:E34=1)*(CRIATURAS!C3:C34="activo"),0)),IF(COUNTIFS(EXPLORADORES!H2:H61,7,EXPLORADORES!I2:I61,1,EXPLORADORES!G2:G61,"&lt;&gt;Eliminado")&gt;0,"Exp x"&amp;COUNTIFS(EXPLORADORES!H2:H61,7,EXPLORADORES!I2:I61,1,EXPLORADORES!G2:G61,"&lt;&gt;Eliminado"),"Mar"))),"Mar")</f>
        <v>Mar</v>
      </c>
      <c r="C10" s="7" t="str">
        <f aca="false">IFERROR(IF(SUMPRODUCT((TILES!G3:G42=7)*(TILES!H3:H42=2)*(TILES!E3:E42="en juego"))&gt;0,INDEX(TILES!B3:B42,MATCH(1,(TILES!G3:G42=7)*(TILES!H3:H42=2)*(TILES!E3:E42="en juego"),0)),IF(SUMPRODUCT((CRIATURAS!D3:D34=7)*(CRIATURAS!E3:E34=2)*(CRIATURAS!C3:C34="activo"))&gt;0,INDEX(CRIATURAS!B3:B34,MATCH(1,(CRIATURAS!D3:D34=7)*(CRIATURAS!E3:E34=2)*(CRIATURAS!C3:C34="activo"),0)),IF(COUNTIFS(EXPLORADORES!H2:H61,7,EXPLORADORES!I2:I61,2,EXPLORADORES!G2:G61,"&lt;&gt;Eliminado")&gt;0,"Exp x"&amp;COUNTIFS(EXPLORADORES!H2:H61,7,EXPLORADORES!I2:I61,2,EXPLORADORES!G2:G61,"&lt;&gt;Eliminado"),"Mar"))),"Mar")</f>
        <v>Serpiente</v>
      </c>
      <c r="D10" s="7" t="str">
        <f aca="false">IFERROR(IF(SUMPRODUCT((TILES!G3:G42=7)*(TILES!H3:H42=3)*(TILES!E3:E42="en juego"))&gt;0,INDEX(TILES!B3:B42,MATCH(1,(TILES!G3:G42=7)*(TILES!H3:H42=3)*(TILES!E3:E42="en juego"),0)),IF(SUMPRODUCT((CRIATURAS!D3:D34=7)*(CRIATURAS!E3:E34=3)*(CRIATURAS!C3:C34="activo"))&gt;0,INDEX(CRIATURAS!B3:B34,MATCH(1,(CRIATURAS!D3:D34=7)*(CRIATURAS!E3:E34=3)*(CRIATURAS!C3:C34="activo"),0)),IF(COUNTIFS(EXPLORADORES!H2:H61,7,EXPLORADORES!I2:I61,3,EXPLORADORES!G2:G61,"&lt;&gt;Eliminado")&gt;0,"Exp x"&amp;COUNTIFS(EXPLORADORES!H2:H61,7,EXPLORADORES!I2:I61,3,EXPLORADORES!G2:G61,"&lt;&gt;Eliminado"),"Mar"))),"Mar")</f>
        <v>Playa</v>
      </c>
      <c r="E10" s="7" t="str">
        <f aca="false">IFERROR(IF(SUMPRODUCT((TILES!G3:G42=7)*(TILES!H3:H42=4)*(TILES!E3:E42="en juego"))&gt;0,INDEX(TILES!B3:B42,MATCH(1,(TILES!G3:G42=7)*(TILES!H3:H42=4)*(TILES!E3:E42="en juego"),0)),IF(SUMPRODUCT((CRIATURAS!D3:D34=7)*(CRIATURAS!E3:E34=4)*(CRIATURAS!C3:C34="activo"))&gt;0,INDEX(CRIATURAS!B3:B34,MATCH(1,(CRIATURAS!D3:D34=7)*(CRIATURAS!E3:E34=4)*(CRIATURAS!C3:C34="activo"),0)),IF(COUNTIFS(EXPLORADORES!H2:H61,7,EXPLORADORES!I2:I61,4,EXPLORADORES!G2:G61,"&lt;&gt;Eliminado")&gt;0,"Exp x"&amp;COUNTIFS(EXPLORADORES!H2:H61,7,EXPLORADORES!I2:I61,4,EXPLORADORES!G2:G61,"&lt;&gt;Eliminado"),"Mar"))),"Mar")</f>
        <v>Playa</v>
      </c>
      <c r="F10" s="7" t="str">
        <f aca="false">IFERROR(IF(SUMPRODUCT((TILES!G3:G42=7)*(TILES!H3:H42=5)*(TILES!E3:E42="en juego"))&gt;0,INDEX(TILES!B3:B42,MATCH(1,(TILES!G3:G42=7)*(TILES!H3:H42=5)*(TILES!E3:E42="en juego"),0)),IF(SUMPRODUCT((CRIATURAS!D3:D34=7)*(CRIATURAS!E3:E34=5)*(CRIATURAS!C3:C34="activo"))&gt;0,INDEX(CRIATURAS!B3:B34,MATCH(1,(CRIATURAS!D3:D34=7)*(CRIATURAS!E3:E34=5)*(CRIATURAS!C3:C34="activo"),0)),IF(COUNTIFS(EXPLORADORES!H2:H61,7,EXPLORADORES!I2:I61,5,EXPLORADORES!G2:G61,"&lt;&gt;Eliminado")&gt;0,"Exp x"&amp;COUNTIFS(EXPLORADORES!H2:H61,7,EXPLORADORES!I2:I61,5,EXPLORADORES!G2:G61,"&lt;&gt;Eliminado"),"Mar"))),"Mar")</f>
        <v>Playa</v>
      </c>
      <c r="G10" s="7" t="str">
        <f aca="false">IFERROR(IF(SUMPRODUCT((TILES!G3:G42=7)*(TILES!H3:H42=6)*(TILES!E3:E42="en juego"))&gt;0,INDEX(TILES!B3:B42,MATCH(1,(TILES!G3:G42=7)*(TILES!H3:H42=6)*(TILES!E3:E42="en juego"),0)),IF(SUMPRODUCT((CRIATURAS!D3:D34=7)*(CRIATURAS!E3:E34=6)*(CRIATURAS!C3:C34="activo"))&gt;0,INDEX(CRIATURAS!B3:B34,MATCH(1,(CRIATURAS!D3:D34=7)*(CRIATURAS!E3:E34=6)*(CRIATURAS!C3:C34="activo"),0)),IF(COUNTIFS(EXPLORADORES!H2:H61,7,EXPLORADORES!I2:I61,6,EXPLORADORES!G2:G61,"&lt;&gt;Eliminado")&gt;0,"Exp x"&amp;COUNTIFS(EXPLORADORES!H2:H61,7,EXPLORADORES!I2:I61,6,EXPLORADORES!G2:G61,"&lt;&gt;Eliminado"),"Mar"))),"Mar")</f>
        <v>Playa</v>
      </c>
      <c r="H10" s="7" t="str">
        <f aca="false">IFERROR(IF(SUMPRODUCT((TILES!G3:G42=7)*(TILES!H3:H42=7)*(TILES!E3:E42="en juego"))&gt;0,INDEX(TILES!B3:B42,MATCH(1,(TILES!G3:G42=7)*(TILES!H3:H42=7)*(TILES!E3:E42="en juego"),0)),IF(SUMPRODUCT((CRIATURAS!D3:D34=7)*(CRIATURAS!E3:E34=7)*(CRIATURAS!C3:C34="activo"))&gt;0,INDEX(CRIATURAS!B3:B34,MATCH(1,(CRIATURAS!D3:D34=7)*(CRIATURAS!E3:E34=7)*(CRIATURAS!C3:C34="activo"),0)),IF(COUNTIFS(EXPLORADORES!H2:H61,7,EXPLORADORES!I2:I61,7,EXPLORADORES!G2:G61,"&lt;&gt;Eliminado")&gt;0,"Exp x"&amp;COUNTIFS(EXPLORADORES!H2:H61,7,EXPLORADORES!I2:I61,7,EXPLORADORES!G2:G61,"&lt;&gt;Eliminado"),"Mar"))),"Mar")</f>
        <v>Playa</v>
      </c>
      <c r="I10" s="7" t="str">
        <f aca="false">IFERROR(IF(SUMPRODUCT((TILES!G3:G42=7)*(TILES!H3:H42=8)*(TILES!E3:E42="en juego"))&gt;0,INDEX(TILES!B3:B42,MATCH(1,(TILES!G3:G42=7)*(TILES!H3:H42=8)*(TILES!E3:E42="en juego"),0)),IF(SUMPRODUCT((CRIATURAS!D3:D34=7)*(CRIATURAS!E3:E34=8)*(CRIATURAS!C3:C34="activo"))&gt;0,INDEX(CRIATURAS!B3:B34,MATCH(1,(CRIATURAS!D3:D34=7)*(CRIATURAS!E3:E34=8)*(CRIATURAS!C3:C34="activo"),0)),IF(COUNTIFS(EXPLORADORES!H2:H61,7,EXPLORADORES!I2:I61,8,EXPLORADORES!G2:G61,"&lt;&gt;Eliminado")&gt;0,"Exp x"&amp;COUNTIFS(EXPLORADORES!H2:H61,7,EXPLORADORES!I2:I61,8,EXPLORADORES!G2:G61,"&lt;&gt;Eliminado"),"Mar"))),"Mar")</f>
        <v>Bosque</v>
      </c>
      <c r="J10" s="7" t="str">
        <f aca="false">IFERROR(IF(SUMPRODUCT((TILES!G3:G42=7)*(TILES!H3:H42=9)*(TILES!E3:E42="en juego"))&gt;0,INDEX(TILES!B3:B42,MATCH(1,(TILES!G3:G42=7)*(TILES!H3:H42=9)*(TILES!E3:E42="en juego"),0)),IF(SUMPRODUCT((CRIATURAS!D3:D34=7)*(CRIATURAS!E3:E34=9)*(CRIATURAS!C3:C34="activo"))&gt;0,INDEX(CRIATURAS!B3:B34,MATCH(1,(CRIATURAS!D3:D34=7)*(CRIATURAS!E3:E34=9)*(CRIATURAS!C3:C34="activo"),0)),IF(COUNTIFS(EXPLORADORES!H2:H61,7,EXPLORADORES!I2:I61,9,EXPLORADORES!G2:G61,"&lt;&gt;Eliminado")&gt;0,"Exp x"&amp;COUNTIFS(EXPLORADORES!H2:H61,7,EXPLORADORES!I2:I61,9,EXPLORADORES!G2:G61,"&lt;&gt;Eliminado"),"Mar"))),"Mar")</f>
        <v>Playa</v>
      </c>
      <c r="K10" s="7" t="str">
        <f aca="false">IFERROR(IF(SUMPRODUCT((TILES!G3:G42=7)*(TILES!H3:H42=10)*(TILES!E3:E42="en juego"))&gt;0,INDEX(TILES!B3:B42,MATCH(1,(TILES!G3:G42=7)*(TILES!H3:H42=10)*(TILES!E3:E42="en juego"),0)),IF(SUMPRODUCT((CRIATURAS!D3:D34=7)*(CRIATURAS!E3:E34=10)*(CRIATURAS!C3:C34="activo"))&gt;0,INDEX(CRIATURAS!B3:B34,MATCH(1,(CRIATURAS!D3:D34=7)*(CRIATURAS!E3:E34=10)*(CRIATURAS!C3:C34="activo"),0)),IF(COUNTIFS(EXPLORADORES!H2:H61,7,EXPLORADORES!I2:I61,10,EXPLORADORES!G2:G61,"&lt;&gt;Eliminado")&gt;0,"Exp x"&amp;COUNTIFS(EXPLORADORES!H2:H61,7,EXPLORADORES!I2:I61,10,EXPLORADORES!G2:G61,"&lt;&gt;Eliminado"),"Mar"))),"Mar")</f>
        <v>Playa</v>
      </c>
    </row>
    <row r="13" customFormat="false" ht="27.75" hidden="false" customHeight="true" outlineLevel="0" collapsed="false">
      <c r="A13" s="1" t="s">
        <v>62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5" hidden="false" customHeight="false" outlineLevel="0" collapsed="false">
      <c r="A14" s="13" t="s">
        <v>63</v>
      </c>
      <c r="B14" s="14" t="s">
        <v>64</v>
      </c>
      <c r="C14" s="15" t="s">
        <v>65</v>
      </c>
      <c r="D14" s="16" t="s">
        <v>66</v>
      </c>
      <c r="E14" s="17" t="s">
        <v>67</v>
      </c>
      <c r="F14" s="18" t="s">
        <v>68</v>
      </c>
      <c r="G14" s="19" t="s">
        <v>69</v>
      </c>
      <c r="H14" s="20" t="s">
        <v>70</v>
      </c>
      <c r="I14" s="21" t="s">
        <v>71</v>
      </c>
      <c r="J14" s="22" t="s">
        <v>72</v>
      </c>
    </row>
  </sheetData>
  <mergeCells count="2">
    <mergeCell ref="A1:K1"/>
    <mergeCell ref="A13:K13"/>
  </mergeCells>
  <conditionalFormatting sqref="B4:K10">
    <cfRule type="cellIs" priority="2" operator="equal" aboveAverage="0" equalAverage="0" bottom="0" percent="0" rank="0" text="" dxfId="0">
      <formula>"Mar"</formula>
    </cfRule>
    <cfRule type="cellIs" priority="3" operator="equal" aboveAverage="0" equalAverage="0" bottom="0" percent="0" rank="0" text="" dxfId="1">
      <formula>"Playa"</formula>
    </cfRule>
    <cfRule type="cellIs" priority="4" operator="equal" aboveAverage="0" equalAverage="0" bottom="0" percent="0" rank="0" text="" dxfId="2">
      <formula>"Bosque"</formula>
    </cfRule>
    <cfRule type="cellIs" priority="5" operator="equal" aboveAverage="0" equalAverage="0" bottom="0" percent="0" rank="0" text="" dxfId="3">
      <formula>"Montana"</formula>
    </cfRule>
    <cfRule type="cellIs" priority="6" operator="equal" aboveAverage="0" equalAverage="0" bottom="0" percent="0" rank="0" text="" dxfId="4">
      <formula>"Serpiente"</formula>
    </cfRule>
    <cfRule type="cellIs" priority="7" operator="equal" aboveAverage="0" equalAverage="0" bottom="0" percent="0" rank="0" text="" dxfId="5">
      <formula>"Tiburon"</formula>
    </cfRule>
    <cfRule type="cellIs" priority="8" operator="equal" aboveAverage="0" equalAverage="0" bottom="0" percent="0" rank="0" text="" dxfId="6">
      <formula>"Ballena"</formula>
    </cfRule>
    <cfRule type="cellIs" priority="9" operator="equal" aboveAverage="0" equalAverage="0" bottom="0" percent="0" rank="0" text="" dxfId="7">
      <formula>"Remolino"</formula>
    </cfRule>
    <cfRule type="cellIs" priority="10" operator="equal" aboveAverage="0" equalAverage="0" bottom="0" percent="0" rank="0" text="" dxfId="8">
      <formula>"Barco"</formula>
    </cfRule>
    <cfRule type="expression" priority="11" aboveAverage="0" equalAverage="0" bottom="0" percent="0" rank="0" text="" dxfId="9">
      <formula>LEFT(B4,3)="Exp"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1FF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73</v>
      </c>
      <c r="B1" s="1"/>
      <c r="C1" s="1"/>
      <c r="D1" s="1"/>
    </row>
    <row r="3" customFormat="false" ht="15" hidden="false" customHeight="false" outlineLevel="0" collapsed="false">
      <c r="A3" s="2" t="s">
        <v>74</v>
      </c>
      <c r="B3" s="10" t="n">
        <f aca="false">CONTROL!F3</f>
        <v>1</v>
      </c>
      <c r="C3" s="10" t="str">
        <f aca="false">CHOOSE(B3,"Rojo","Turquesa","Amarillo","Verde menta","Purpura","Salmon")</f>
        <v>Rojo</v>
      </c>
    </row>
    <row r="4" customFormat="false" ht="15" hidden="false" customHeight="false" outlineLevel="0" collapsed="false">
      <c r="A4" s="2" t="s">
        <v>75</v>
      </c>
      <c r="B4" s="10" t="n">
        <f aca="false">CONTROL!D3</f>
        <v>1</v>
      </c>
      <c r="C4" s="10" t="str">
        <f aca="false">"Fase "&amp;CONTROL!H3</f>
        <v>Fase 1</v>
      </c>
    </row>
    <row r="6" customFormat="false" ht="15" hidden="false" customHeight="true" outlineLevel="0" collapsed="false">
      <c r="A6" s="5" t="s">
        <v>76</v>
      </c>
      <c r="B6" s="5"/>
      <c r="C6" s="5"/>
      <c r="D6" s="5"/>
    </row>
    <row r="7" customFormat="false" ht="15" hidden="false" customHeight="false" outlineLevel="0" collapsed="false">
      <c r="A7" s="5" t="s">
        <v>77</v>
      </c>
      <c r="B7" s="5" t="s">
        <v>78</v>
      </c>
      <c r="C7" s="5" t="s">
        <v>79</v>
      </c>
      <c r="D7" s="5" t="s">
        <v>80</v>
      </c>
    </row>
    <row r="8" customFormat="false" ht="15" hidden="false" customHeight="false" outlineLevel="0" collapsed="false">
      <c r="A8" s="6" t="s">
        <v>81</v>
      </c>
      <c r="B8" s="3"/>
      <c r="C8" s="7" t="str">
        <f aca="false">IF(B8="","Sin ficha","Ficha "&amp;B8)</f>
        <v>Sin ficha</v>
      </c>
      <c r="D8" s="23" t="str">
        <f aca="false">IF(B8="MAN_Delfin","Mueve Nadador hasta 3 mar",IF(B8="MAN_Vientos","Mueve Barco 1-3 casillas",IF(B8="MAN_Serpiente","Mueve Serpiente a mar vacio",IF(B8="MAN_Tiburon","Mueve Tiburon a mar vacio",IF(B8="MAN_Ballena","Mueve Ballena a mar vacio","-")))))</f>
        <v>-</v>
      </c>
    </row>
    <row r="10" customFormat="false" ht="15" hidden="false" customHeight="true" outlineLevel="0" collapsed="false">
      <c r="A10" s="5" t="s">
        <v>82</v>
      </c>
      <c r="B10" s="5"/>
      <c r="C10" s="5"/>
      <c r="D10" s="5"/>
    </row>
    <row r="11" customFormat="false" ht="15" hidden="false" customHeight="false" outlineLevel="0" collapsed="false">
      <c r="A11" s="5" t="s">
        <v>83</v>
      </c>
      <c r="B11" s="5" t="s">
        <v>84</v>
      </c>
      <c r="C11" s="5" t="s">
        <v>85</v>
      </c>
      <c r="D11" s="5" t="s">
        <v>86</v>
      </c>
    </row>
    <row r="12" customFormat="false" ht="15" hidden="false" customHeight="false" outlineLevel="0" collapsed="false">
      <c r="A12" s="24" t="n">
        <v>1</v>
      </c>
      <c r="B12" s="3"/>
      <c r="C12" s="3"/>
      <c r="D12" s="23" t="str">
        <f aca="false">IF(B12="","- (sin mov)","Mover ID "&amp;B12&amp;" a "&amp;C12)</f>
        <v>- (sin mov)</v>
      </c>
    </row>
    <row r="13" customFormat="false" ht="15" hidden="false" customHeight="false" outlineLevel="0" collapsed="false">
      <c r="A13" s="24" t="n">
        <v>2</v>
      </c>
      <c r="B13" s="3"/>
      <c r="C13" s="3"/>
      <c r="D13" s="23" t="str">
        <f aca="false">IF(B13="","- (sin mov)","Mover ID "&amp;B13&amp;" a "&amp;C13)</f>
        <v>- (sin mov)</v>
      </c>
    </row>
    <row r="14" customFormat="false" ht="15" hidden="false" customHeight="false" outlineLevel="0" collapsed="false">
      <c r="A14" s="24" t="n">
        <v>3</v>
      </c>
      <c r="B14" s="3"/>
      <c r="C14" s="3"/>
      <c r="D14" s="23" t="str">
        <f aca="false">IF(B14="","- (sin mov)","Mover ID "&amp;B14&amp;" a "&amp;C14)</f>
        <v>- (sin mov)</v>
      </c>
    </row>
    <row r="16" customFormat="false" ht="15" hidden="false" customHeight="true" outlineLevel="0" collapsed="false">
      <c r="A16" s="5" t="s">
        <v>87</v>
      </c>
      <c r="B16" s="5"/>
      <c r="C16" s="5"/>
      <c r="D16" s="5"/>
    </row>
    <row r="17" customFormat="false" ht="15" hidden="false" customHeight="false" outlineLevel="0" collapsed="false">
      <c r="A17" s="5" t="s">
        <v>77</v>
      </c>
      <c r="B17" s="5" t="s">
        <v>78</v>
      </c>
      <c r="C17" s="5" t="s">
        <v>88</v>
      </c>
      <c r="D17" s="5" t="s">
        <v>89</v>
      </c>
    </row>
    <row r="18" customFormat="false" ht="15" hidden="false" customHeight="false" outlineLevel="0" collapsed="false">
      <c r="A18" s="6" t="s">
        <v>90</v>
      </c>
      <c r="B18" s="3"/>
      <c r="C18" s="23" t="str">
        <f aca="false">IF(B18="","Selecciona tile","Tipo: "&amp;VLOOKUP(B18,TILES!A3:E42,2,FALSE())&amp;" | Alt: "&amp;VLOOKUP(B18,TILES!A3:E42,3,FALSE()))</f>
        <v>Selecciona tile</v>
      </c>
      <c r="D18" s="23" t="str">
        <f aca="false">IF(B18="","-","Revela: "&amp;VLOOKUP(B18,TILES!A3:E42,4,FALSE()))</f>
        <v>-</v>
      </c>
    </row>
    <row r="20" customFormat="false" ht="15" hidden="false" customHeight="true" outlineLevel="0" collapsed="false">
      <c r="A20" s="5" t="s">
        <v>91</v>
      </c>
      <c r="B20" s="5"/>
      <c r="C20" s="5"/>
      <c r="D20" s="5"/>
    </row>
    <row r="21" customFormat="false" ht="15" hidden="false" customHeight="false" outlineLevel="0" collapsed="false">
      <c r="A21" s="5" t="s">
        <v>77</v>
      </c>
      <c r="B21" s="5" t="s">
        <v>78</v>
      </c>
      <c r="C21" s="5" t="s">
        <v>92</v>
      </c>
      <c r="D21" s="5" t="s">
        <v>93</v>
      </c>
    </row>
    <row r="22" customFormat="false" ht="15" hidden="false" customHeight="false" outlineLevel="0" collapsed="false">
      <c r="A22" s="6" t="s">
        <v>94</v>
      </c>
      <c r="B22" s="3"/>
      <c r="C22" s="7" t="str">
        <f aca="false">IF(B22="","Tira el dado",IF(B22&lt;=2,"Tiburon",IF(B22&lt;=4,"Ballena",IF(B22=5,"Serpiente","Eliges"))))</f>
        <v>Tira el dado</v>
      </c>
      <c r="D22" s="25" t="s">
        <v>95</v>
      </c>
    </row>
    <row r="23" customFormat="false" ht="15" hidden="false" customHeight="false" outlineLevel="0" collapsed="false">
      <c r="A23" s="6" t="s">
        <v>96</v>
      </c>
      <c r="B23" s="3"/>
      <c r="C23" s="7" t="str">
        <f aca="false">IF(B23="","-",VLOOKUP(B23,CRIATURAS!A3:B34,2,FALSE()))</f>
        <v>-</v>
      </c>
      <c r="D23" s="25" t="s">
        <v>97</v>
      </c>
    </row>
    <row r="24" customFormat="false" ht="15" hidden="false" customHeight="false" outlineLevel="0" collapsed="false">
      <c r="A24" s="6" t="s">
        <v>85</v>
      </c>
      <c r="B24" s="3"/>
      <c r="C24" s="26"/>
      <c r="D24" s="25" t="s">
        <v>98</v>
      </c>
    </row>
  </sheetData>
  <mergeCells count="5">
    <mergeCell ref="A1:D1"/>
    <mergeCell ref="A6:D6"/>
    <mergeCell ref="A10:D10"/>
    <mergeCell ref="A16:D16"/>
    <mergeCell ref="A20:D20"/>
  </mergeCells>
  <dataValidations count="2">
    <dataValidation allowBlank="true" errorStyle="stop" operator="between" showDropDown="false" showErrorMessage="false" showInputMessage="false" sqref="B8" type="list">
      <formula1>"MAN_Delfin,MAN_Vientos,MAN_Serpiente,MAN_Tiburon,MAN_Ballena"</formula1>
      <formula2>0</formula2>
    </dataValidation>
    <dataValidation allowBlank="false" errorStyle="stop" operator="between" showDropDown="false" showErrorMessage="false" showInputMessage="false" sqref="B22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CDC4"/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35"/>
  </cols>
  <sheetData>
    <row r="1" customFormat="false" ht="27.75" hidden="false" customHeight="true" outlineLevel="0" collapsed="false">
      <c r="A1" s="1" t="s">
        <v>99</v>
      </c>
      <c r="B1" s="1"/>
      <c r="C1" s="1"/>
      <c r="D1" s="1"/>
      <c r="E1" s="1"/>
    </row>
    <row r="3" customFormat="false" ht="15" hidden="false" customHeight="true" outlineLevel="0" collapsed="false">
      <c r="A3" s="5" t="s">
        <v>100</v>
      </c>
      <c r="B3" s="5"/>
      <c r="C3" s="5"/>
      <c r="D3" s="5"/>
      <c r="E3" s="5"/>
    </row>
    <row r="4" customFormat="false" ht="15" hidden="false" customHeight="false" outlineLevel="0" collapsed="false">
      <c r="A4" s="5" t="s">
        <v>101</v>
      </c>
      <c r="B4" s="5" t="s">
        <v>102</v>
      </c>
      <c r="C4" s="5" t="s">
        <v>103</v>
      </c>
      <c r="D4" s="5" t="s">
        <v>104</v>
      </c>
      <c r="E4" s="5" t="s">
        <v>105</v>
      </c>
    </row>
    <row r="5" customFormat="false" ht="15" hidden="false" customHeight="false" outlineLevel="0" collapsed="false">
      <c r="A5" s="26" t="s">
        <v>106</v>
      </c>
      <c r="B5" s="24" t="n">
        <v>1</v>
      </c>
      <c r="C5" s="24" t="s">
        <v>107</v>
      </c>
      <c r="D5" s="24" t="s">
        <v>108</v>
      </c>
      <c r="E5" s="26" t="s">
        <v>109</v>
      </c>
    </row>
    <row r="6" customFormat="false" ht="15" hidden="false" customHeight="false" outlineLevel="0" collapsed="false">
      <c r="A6" s="26" t="s">
        <v>110</v>
      </c>
      <c r="B6" s="24" t="n">
        <v>16</v>
      </c>
      <c r="C6" s="24" t="s">
        <v>111</v>
      </c>
      <c r="D6" s="24" t="s">
        <v>112</v>
      </c>
      <c r="E6" s="26" t="s">
        <v>113</v>
      </c>
    </row>
    <row r="7" customFormat="false" ht="15" hidden="false" customHeight="false" outlineLevel="0" collapsed="false">
      <c r="A7" s="26" t="s">
        <v>114</v>
      </c>
      <c r="B7" s="24" t="n">
        <v>16</v>
      </c>
      <c r="C7" s="24" t="s">
        <v>115</v>
      </c>
      <c r="D7" s="24" t="s">
        <v>112</v>
      </c>
      <c r="E7" s="26" t="s">
        <v>116</v>
      </c>
    </row>
    <row r="8" customFormat="false" ht="15" hidden="false" customHeight="false" outlineLevel="0" collapsed="false">
      <c r="A8" s="26" t="s">
        <v>117</v>
      </c>
      <c r="B8" s="24" t="n">
        <v>8</v>
      </c>
      <c r="C8" s="24" t="s">
        <v>118</v>
      </c>
      <c r="D8" s="24" t="s">
        <v>119</v>
      </c>
      <c r="E8" s="26" t="s">
        <v>120</v>
      </c>
    </row>
    <row r="9" customFormat="false" ht="15" hidden="false" customHeight="false" outlineLevel="0" collapsed="false">
      <c r="A9" s="26" t="s">
        <v>121</v>
      </c>
      <c r="B9" s="24" t="n">
        <v>10</v>
      </c>
      <c r="C9" s="24" t="s">
        <v>122</v>
      </c>
      <c r="D9" s="24" t="s">
        <v>123</v>
      </c>
      <c r="E9" s="26" t="s">
        <v>124</v>
      </c>
    </row>
    <row r="10" customFormat="false" ht="15" hidden="false" customHeight="false" outlineLevel="0" collapsed="false">
      <c r="A10" s="26" t="s">
        <v>125</v>
      </c>
      <c r="B10" s="24" t="n">
        <v>5</v>
      </c>
      <c r="C10" s="24" t="s">
        <v>126</v>
      </c>
      <c r="D10" s="24" t="s">
        <v>127</v>
      </c>
      <c r="E10" s="26" t="s">
        <v>128</v>
      </c>
    </row>
    <row r="11" customFormat="false" ht="15" hidden="false" customHeight="false" outlineLevel="0" collapsed="false">
      <c r="A11" s="26" t="s">
        <v>129</v>
      </c>
      <c r="B11" s="24" t="n">
        <v>5</v>
      </c>
      <c r="C11" s="24" t="s">
        <v>130</v>
      </c>
      <c r="D11" s="24" t="s">
        <v>131</v>
      </c>
      <c r="E11" s="26" t="s">
        <v>132</v>
      </c>
    </row>
    <row r="12" customFormat="false" ht="15" hidden="false" customHeight="false" outlineLevel="0" collapsed="false">
      <c r="A12" s="26" t="s">
        <v>133</v>
      </c>
      <c r="B12" s="24" t="n">
        <v>5</v>
      </c>
      <c r="C12" s="24" t="s">
        <v>134</v>
      </c>
      <c r="D12" s="24" t="s">
        <v>131</v>
      </c>
      <c r="E12" s="26" t="s">
        <v>135</v>
      </c>
    </row>
    <row r="13" customFormat="false" ht="15" hidden="false" customHeight="false" outlineLevel="0" collapsed="false">
      <c r="A13" s="26" t="s">
        <v>136</v>
      </c>
      <c r="B13" s="24" t="n">
        <v>5</v>
      </c>
      <c r="C13" s="24" t="s">
        <v>137</v>
      </c>
      <c r="D13" s="24" t="s">
        <v>131</v>
      </c>
      <c r="E13" s="26" t="s">
        <v>138</v>
      </c>
    </row>
    <row r="14" customFormat="false" ht="15" hidden="false" customHeight="false" outlineLevel="0" collapsed="false">
      <c r="A14" s="26" t="s">
        <v>139</v>
      </c>
      <c r="B14" s="24" t="n">
        <v>12</v>
      </c>
      <c r="C14" s="24" t="s">
        <v>140</v>
      </c>
      <c r="D14" s="24" t="s">
        <v>131</v>
      </c>
      <c r="E14" s="26" t="s">
        <v>141</v>
      </c>
    </row>
    <row r="15" customFormat="false" ht="15" hidden="false" customHeight="false" outlineLevel="0" collapsed="false">
      <c r="A15" s="26" t="s">
        <v>142</v>
      </c>
      <c r="B15" s="24" t="n">
        <v>1</v>
      </c>
      <c r="C15" s="24" t="s">
        <v>143</v>
      </c>
      <c r="D15" s="24" t="s">
        <v>144</v>
      </c>
      <c r="E15" s="26" t="s">
        <v>145</v>
      </c>
    </row>
    <row r="18" customFormat="false" ht="15" hidden="false" customHeight="true" outlineLevel="0" collapsed="false">
      <c r="A18" s="5" t="s">
        <v>146</v>
      </c>
      <c r="B18" s="5"/>
      <c r="C18" s="5"/>
      <c r="D18" s="5"/>
      <c r="E18" s="5"/>
    </row>
    <row r="19" customFormat="false" ht="15" hidden="false" customHeight="false" outlineLevel="0" collapsed="false">
      <c r="A19" s="5" t="s">
        <v>147</v>
      </c>
      <c r="B19" s="5" t="s">
        <v>148</v>
      </c>
      <c r="C19" s="5" t="s">
        <v>149</v>
      </c>
      <c r="D19" s="5" t="s">
        <v>150</v>
      </c>
      <c r="E19" s="5" t="s">
        <v>151</v>
      </c>
    </row>
    <row r="20" customFormat="false" ht="15" hidden="false" customHeight="false" outlineLevel="0" collapsed="false">
      <c r="A20" s="26" t="n">
        <v>1</v>
      </c>
      <c r="B20" s="26" t="s">
        <v>152</v>
      </c>
      <c r="C20" s="26" t="s">
        <v>153</v>
      </c>
      <c r="D20" s="26" t="s">
        <v>154</v>
      </c>
      <c r="E20" s="26" t="s">
        <v>155</v>
      </c>
    </row>
    <row r="21" customFormat="false" ht="15" hidden="false" customHeight="false" outlineLevel="0" collapsed="false">
      <c r="A21" s="26" t="n">
        <v>2</v>
      </c>
      <c r="B21" s="26" t="s">
        <v>156</v>
      </c>
      <c r="C21" s="26" t="s">
        <v>157</v>
      </c>
      <c r="D21" s="26" t="s">
        <v>158</v>
      </c>
      <c r="E21" s="26" t="s">
        <v>159</v>
      </c>
    </row>
    <row r="22" customFormat="false" ht="15" hidden="false" customHeight="false" outlineLevel="0" collapsed="false">
      <c r="A22" s="26" t="n">
        <v>3</v>
      </c>
      <c r="B22" s="26" t="s">
        <v>160</v>
      </c>
      <c r="C22" s="26" t="s">
        <v>161</v>
      </c>
      <c r="D22" s="26" t="s">
        <v>162</v>
      </c>
      <c r="E22" s="26" t="s">
        <v>163</v>
      </c>
    </row>
    <row r="23" customFormat="false" ht="15" hidden="false" customHeight="false" outlineLevel="0" collapsed="false">
      <c r="A23" s="26" t="n">
        <v>4</v>
      </c>
      <c r="B23" s="26" t="s">
        <v>164</v>
      </c>
      <c r="C23" s="26" t="s">
        <v>165</v>
      </c>
      <c r="D23" s="26" t="s">
        <v>145</v>
      </c>
      <c r="E23" s="26" t="s">
        <v>163</v>
      </c>
    </row>
    <row r="25" customFormat="false" ht="15" hidden="false" customHeight="true" outlineLevel="0" collapsed="false">
      <c r="A25" s="5" t="s">
        <v>166</v>
      </c>
      <c r="B25" s="5"/>
      <c r="C25" s="5"/>
      <c r="D25" s="5"/>
      <c r="E25" s="5"/>
    </row>
    <row r="26" customFormat="false" ht="15" hidden="false" customHeight="false" outlineLevel="0" collapsed="false">
      <c r="A26" s="5" t="s">
        <v>92</v>
      </c>
      <c r="B26" s="5" t="s">
        <v>167</v>
      </c>
      <c r="C26" s="5" t="s">
        <v>168</v>
      </c>
      <c r="D26" s="5" t="s">
        <v>169</v>
      </c>
      <c r="E26" s="5" t="s">
        <v>80</v>
      </c>
    </row>
    <row r="27" customFormat="false" ht="23.85" hidden="false" customHeight="false" outlineLevel="0" collapsed="false">
      <c r="A27" s="26" t="s">
        <v>67</v>
      </c>
      <c r="B27" s="26" t="s">
        <v>170</v>
      </c>
      <c r="C27" s="26" t="s">
        <v>171</v>
      </c>
      <c r="D27" s="26" t="s">
        <v>172</v>
      </c>
      <c r="E27" s="26" t="s">
        <v>173</v>
      </c>
    </row>
    <row r="28" customFormat="false" ht="15" hidden="false" customHeight="false" outlineLevel="0" collapsed="false">
      <c r="A28" s="26" t="s">
        <v>68</v>
      </c>
      <c r="B28" s="26" t="s">
        <v>174</v>
      </c>
      <c r="C28" s="26" t="s">
        <v>175</v>
      </c>
      <c r="D28" s="26" t="s">
        <v>176</v>
      </c>
      <c r="E28" s="26" t="s">
        <v>177</v>
      </c>
    </row>
    <row r="29" customFormat="false" ht="23.85" hidden="false" customHeight="false" outlineLevel="0" collapsed="false">
      <c r="A29" s="26" t="s">
        <v>69</v>
      </c>
      <c r="B29" s="26" t="s">
        <v>71</v>
      </c>
      <c r="C29" s="26" t="s">
        <v>178</v>
      </c>
      <c r="D29" s="26" t="s">
        <v>179</v>
      </c>
      <c r="E29" s="26" t="s">
        <v>180</v>
      </c>
    </row>
    <row r="30" customFormat="false" ht="23.85" hidden="false" customHeight="false" outlineLevel="0" collapsed="false">
      <c r="A30" s="26" t="s">
        <v>70</v>
      </c>
      <c r="B30" s="26" t="s">
        <v>181</v>
      </c>
      <c r="C30" s="26" t="s">
        <v>182</v>
      </c>
      <c r="D30" s="26" t="s">
        <v>172</v>
      </c>
      <c r="E30" s="26" t="s">
        <v>183</v>
      </c>
    </row>
    <row r="31" customFormat="false" ht="23.85" hidden="false" customHeight="false" outlineLevel="0" collapsed="false">
      <c r="A31" s="26" t="s">
        <v>184</v>
      </c>
      <c r="B31" s="26" t="s">
        <v>185</v>
      </c>
      <c r="C31" s="26" t="s">
        <v>144</v>
      </c>
      <c r="D31" s="26" t="s">
        <v>144</v>
      </c>
      <c r="E31" s="26" t="s">
        <v>186</v>
      </c>
    </row>
    <row r="33" customFormat="false" ht="15" hidden="false" customHeight="true" outlineLevel="0" collapsed="false">
      <c r="A33" s="5" t="s">
        <v>187</v>
      </c>
      <c r="B33" s="5"/>
      <c r="C33" s="5"/>
      <c r="D33" s="5"/>
      <c r="E33" s="5"/>
    </row>
    <row r="34" customFormat="false" ht="15" hidden="false" customHeight="true" outlineLevel="0" collapsed="false">
      <c r="A34" s="27" t="s">
        <v>188</v>
      </c>
      <c r="B34" s="27"/>
      <c r="C34" s="27"/>
      <c r="D34" s="27"/>
      <c r="E34" s="27"/>
    </row>
    <row r="35" customFormat="false" ht="15" hidden="false" customHeight="true" outlineLevel="0" collapsed="false">
      <c r="A35" s="27" t="s">
        <v>189</v>
      </c>
      <c r="B35" s="27"/>
      <c r="C35" s="27"/>
      <c r="D35" s="27"/>
      <c r="E35" s="27"/>
    </row>
    <row r="36" customFormat="false" ht="15" hidden="false" customHeight="true" outlineLevel="0" collapsed="false">
      <c r="A36" s="27" t="s">
        <v>190</v>
      </c>
      <c r="B36" s="27"/>
      <c r="C36" s="27"/>
      <c r="D36" s="27"/>
      <c r="E36" s="27"/>
    </row>
    <row r="37" customFormat="false" ht="15" hidden="false" customHeight="true" outlineLevel="0" collapsed="false">
      <c r="A37" s="27" t="s">
        <v>191</v>
      </c>
      <c r="B37" s="27"/>
      <c r="C37" s="27"/>
      <c r="D37" s="27"/>
      <c r="E37" s="27"/>
    </row>
  </sheetData>
  <mergeCells count="9">
    <mergeCell ref="A1:E1"/>
    <mergeCell ref="A3:E3"/>
    <mergeCell ref="A18:E18"/>
    <mergeCell ref="A25:E25"/>
    <mergeCell ref="A33:E33"/>
    <mergeCell ref="A34:E34"/>
    <mergeCell ref="A35:E35"/>
    <mergeCell ref="A36:E36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E4A3"/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5" t="s">
        <v>193</v>
      </c>
      <c r="B2" s="5" t="s">
        <v>194</v>
      </c>
      <c r="C2" s="5" t="s">
        <v>195</v>
      </c>
      <c r="D2" s="5" t="s">
        <v>149</v>
      </c>
      <c r="E2" s="5" t="s">
        <v>79</v>
      </c>
      <c r="F2" s="5" t="s">
        <v>196</v>
      </c>
      <c r="G2" s="5" t="s">
        <v>197</v>
      </c>
      <c r="H2" s="5" t="s">
        <v>198</v>
      </c>
      <c r="I2" s="5" t="s">
        <v>199</v>
      </c>
    </row>
    <row r="3" customFormat="false" ht="15" hidden="false" customHeight="false" outlineLevel="0" collapsed="false">
      <c r="A3" s="24" t="n">
        <v>1</v>
      </c>
      <c r="B3" s="24" t="s">
        <v>64</v>
      </c>
      <c r="C3" s="24" t="n">
        <v>1</v>
      </c>
      <c r="D3" s="24" t="s">
        <v>200</v>
      </c>
      <c r="E3" s="3" t="s">
        <v>201</v>
      </c>
      <c r="F3" s="3"/>
      <c r="G3" s="24" t="n">
        <v>3</v>
      </c>
      <c r="H3" s="24" t="n">
        <v>3</v>
      </c>
      <c r="I3" s="7" t="str">
        <f aca="false">G3&amp;","&amp;H3</f>
        <v>3,3</v>
      </c>
    </row>
    <row r="4" customFormat="false" ht="15" hidden="false" customHeight="false" outlineLevel="0" collapsed="false">
      <c r="A4" s="24" t="n">
        <v>2</v>
      </c>
      <c r="B4" s="24" t="s">
        <v>64</v>
      </c>
      <c r="C4" s="24" t="n">
        <v>1</v>
      </c>
      <c r="D4" s="24" t="s">
        <v>200</v>
      </c>
      <c r="E4" s="3" t="s">
        <v>201</v>
      </c>
      <c r="F4" s="3"/>
      <c r="G4" s="24" t="n">
        <v>3</v>
      </c>
      <c r="H4" s="24" t="n">
        <v>4</v>
      </c>
      <c r="I4" s="7" t="str">
        <f aca="false">G4&amp;","&amp;H4</f>
        <v>3,4</v>
      </c>
    </row>
    <row r="5" customFormat="false" ht="15" hidden="false" customHeight="false" outlineLevel="0" collapsed="false">
      <c r="A5" s="24" t="n">
        <v>3</v>
      </c>
      <c r="B5" s="24" t="s">
        <v>64</v>
      </c>
      <c r="C5" s="24" t="n">
        <v>1</v>
      </c>
      <c r="D5" s="24" t="s">
        <v>200</v>
      </c>
      <c r="E5" s="3" t="s">
        <v>201</v>
      </c>
      <c r="F5" s="3"/>
      <c r="G5" s="24" t="n">
        <v>3</v>
      </c>
      <c r="H5" s="24" t="n">
        <v>5</v>
      </c>
      <c r="I5" s="7" t="str">
        <f aca="false">G5&amp;","&amp;H5</f>
        <v>3,5</v>
      </c>
    </row>
    <row r="6" customFormat="false" ht="15" hidden="false" customHeight="false" outlineLevel="0" collapsed="false">
      <c r="A6" s="24" t="n">
        <v>4</v>
      </c>
      <c r="B6" s="24" t="s">
        <v>66</v>
      </c>
      <c r="C6" s="24" t="n">
        <v>3</v>
      </c>
      <c r="D6" s="24" t="s">
        <v>202</v>
      </c>
      <c r="E6" s="3" t="s">
        <v>201</v>
      </c>
      <c r="F6" s="3"/>
      <c r="G6" s="24" t="n">
        <v>3</v>
      </c>
      <c r="H6" s="24" t="n">
        <v>6</v>
      </c>
      <c r="I6" s="7" t="str">
        <f aca="false">G6&amp;","&amp;H6</f>
        <v>3,6</v>
      </c>
    </row>
    <row r="7" customFormat="false" ht="15" hidden="false" customHeight="false" outlineLevel="0" collapsed="false">
      <c r="A7" s="24" t="n">
        <v>5</v>
      </c>
      <c r="B7" s="24" t="s">
        <v>65</v>
      </c>
      <c r="C7" s="24" t="n">
        <v>2</v>
      </c>
      <c r="D7" s="24" t="s">
        <v>203</v>
      </c>
      <c r="E7" s="3" t="s">
        <v>201</v>
      </c>
      <c r="F7" s="3"/>
      <c r="G7" s="24" t="n">
        <v>3</v>
      </c>
      <c r="H7" s="24" t="n">
        <v>7</v>
      </c>
      <c r="I7" s="7" t="str">
        <f aca="false">G7&amp;","&amp;H7</f>
        <v>3,7</v>
      </c>
    </row>
    <row r="8" customFormat="false" ht="15" hidden="false" customHeight="false" outlineLevel="0" collapsed="false">
      <c r="A8" s="24" t="n">
        <v>6</v>
      </c>
      <c r="B8" s="24" t="s">
        <v>65</v>
      </c>
      <c r="C8" s="24" t="n">
        <v>2</v>
      </c>
      <c r="D8" s="24" t="s">
        <v>200</v>
      </c>
      <c r="E8" s="3" t="s">
        <v>201</v>
      </c>
      <c r="F8" s="3"/>
      <c r="G8" s="24" t="n">
        <v>3</v>
      </c>
      <c r="H8" s="24" t="n">
        <v>8</v>
      </c>
      <c r="I8" s="7" t="str">
        <f aca="false">G8&amp;","&amp;H8</f>
        <v>3,8</v>
      </c>
    </row>
    <row r="9" customFormat="false" ht="15" hidden="false" customHeight="false" outlineLevel="0" collapsed="false">
      <c r="A9" s="24" t="n">
        <v>7</v>
      </c>
      <c r="B9" s="24" t="s">
        <v>65</v>
      </c>
      <c r="C9" s="24" t="n">
        <v>2</v>
      </c>
      <c r="D9" s="24" t="s">
        <v>204</v>
      </c>
      <c r="E9" s="3" t="s">
        <v>201</v>
      </c>
      <c r="F9" s="3"/>
      <c r="G9" s="24" t="n">
        <v>3</v>
      </c>
      <c r="H9" s="24" t="n">
        <v>9</v>
      </c>
      <c r="I9" s="7" t="str">
        <f aca="false">G9&amp;","&amp;H9</f>
        <v>3,9</v>
      </c>
    </row>
    <row r="10" customFormat="false" ht="15" hidden="false" customHeight="false" outlineLevel="0" collapsed="false">
      <c r="A10" s="24" t="n">
        <v>8</v>
      </c>
      <c r="B10" s="24" t="s">
        <v>64</v>
      </c>
      <c r="C10" s="24" t="n">
        <v>1</v>
      </c>
      <c r="D10" s="24" t="s">
        <v>205</v>
      </c>
      <c r="E10" s="3" t="s">
        <v>201</v>
      </c>
      <c r="F10" s="3"/>
      <c r="G10" s="24" t="n">
        <v>3</v>
      </c>
      <c r="H10" s="24" t="n">
        <v>10</v>
      </c>
      <c r="I10" s="7" t="str">
        <f aca="false">G10&amp;","&amp;H10</f>
        <v>3,10</v>
      </c>
    </row>
    <row r="11" customFormat="false" ht="15" hidden="false" customHeight="false" outlineLevel="0" collapsed="false">
      <c r="A11" s="24" t="n">
        <v>9</v>
      </c>
      <c r="B11" s="24" t="s">
        <v>64</v>
      </c>
      <c r="C11" s="24" t="n">
        <v>1</v>
      </c>
      <c r="D11" s="24" t="s">
        <v>206</v>
      </c>
      <c r="E11" s="3" t="s">
        <v>201</v>
      </c>
      <c r="F11" s="3"/>
      <c r="G11" s="24" t="n">
        <v>4</v>
      </c>
      <c r="H11" s="24" t="n">
        <v>3</v>
      </c>
      <c r="I11" s="7" t="str">
        <f aca="false">G11&amp;","&amp;H11</f>
        <v>4,3</v>
      </c>
    </row>
    <row r="12" customFormat="false" ht="15" hidden="false" customHeight="false" outlineLevel="0" collapsed="false">
      <c r="A12" s="24" t="n">
        <v>10</v>
      </c>
      <c r="B12" s="24" t="s">
        <v>66</v>
      </c>
      <c r="C12" s="24" t="n">
        <v>3</v>
      </c>
      <c r="D12" s="24" t="s">
        <v>207</v>
      </c>
      <c r="E12" s="3" t="s">
        <v>201</v>
      </c>
      <c r="F12" s="3"/>
      <c r="G12" s="24" t="n">
        <v>4</v>
      </c>
      <c r="H12" s="24" t="n">
        <v>4</v>
      </c>
      <c r="I12" s="7" t="str">
        <f aca="false">G12&amp;","&amp;H12</f>
        <v>4,4</v>
      </c>
    </row>
    <row r="13" customFormat="false" ht="15" hidden="false" customHeight="false" outlineLevel="0" collapsed="false">
      <c r="A13" s="24" t="n">
        <v>11</v>
      </c>
      <c r="B13" s="24" t="s">
        <v>65</v>
      </c>
      <c r="C13" s="24" t="n">
        <v>2</v>
      </c>
      <c r="D13" s="24" t="s">
        <v>203</v>
      </c>
      <c r="E13" s="3" t="s">
        <v>201</v>
      </c>
      <c r="F13" s="3"/>
      <c r="G13" s="24" t="n">
        <v>4</v>
      </c>
      <c r="H13" s="24" t="n">
        <v>5</v>
      </c>
      <c r="I13" s="7" t="str">
        <f aca="false">G13&amp;","&amp;H13</f>
        <v>4,5</v>
      </c>
    </row>
    <row r="14" customFormat="false" ht="15" hidden="false" customHeight="false" outlineLevel="0" collapsed="false">
      <c r="A14" s="24" t="n">
        <v>12</v>
      </c>
      <c r="B14" s="24" t="s">
        <v>65</v>
      </c>
      <c r="C14" s="24" t="n">
        <v>2</v>
      </c>
      <c r="D14" s="24" t="s">
        <v>200</v>
      </c>
      <c r="E14" s="3" t="s">
        <v>201</v>
      </c>
      <c r="F14" s="3"/>
      <c r="G14" s="24" t="n">
        <v>4</v>
      </c>
      <c r="H14" s="24" t="n">
        <v>6</v>
      </c>
      <c r="I14" s="7" t="str">
        <f aca="false">G14&amp;","&amp;H14</f>
        <v>4,6</v>
      </c>
    </row>
    <row r="15" customFormat="false" ht="15" hidden="false" customHeight="false" outlineLevel="0" collapsed="false">
      <c r="A15" s="24" t="n">
        <v>13</v>
      </c>
      <c r="B15" s="24" t="s">
        <v>65</v>
      </c>
      <c r="C15" s="24" t="n">
        <v>2</v>
      </c>
      <c r="D15" s="24" t="s">
        <v>208</v>
      </c>
      <c r="E15" s="3" t="s">
        <v>201</v>
      </c>
      <c r="F15" s="3"/>
      <c r="G15" s="24" t="n">
        <v>4</v>
      </c>
      <c r="H15" s="24" t="n">
        <v>7</v>
      </c>
      <c r="I15" s="7" t="str">
        <f aca="false">G15&amp;","&amp;H15</f>
        <v>4,7</v>
      </c>
    </row>
    <row r="16" customFormat="false" ht="15" hidden="false" customHeight="false" outlineLevel="0" collapsed="false">
      <c r="A16" s="24" t="n">
        <v>14</v>
      </c>
      <c r="B16" s="24" t="s">
        <v>65</v>
      </c>
      <c r="C16" s="24" t="n">
        <v>2</v>
      </c>
      <c r="D16" s="24" t="s">
        <v>204</v>
      </c>
      <c r="E16" s="3" t="s">
        <v>201</v>
      </c>
      <c r="F16" s="3"/>
      <c r="G16" s="24" t="n">
        <v>4</v>
      </c>
      <c r="H16" s="24" t="n">
        <v>8</v>
      </c>
      <c r="I16" s="7" t="str">
        <f aca="false">G16&amp;","&amp;H16</f>
        <v>4,8</v>
      </c>
    </row>
    <row r="17" customFormat="false" ht="15" hidden="false" customHeight="false" outlineLevel="0" collapsed="false">
      <c r="A17" s="24" t="n">
        <v>15</v>
      </c>
      <c r="B17" s="24" t="s">
        <v>64</v>
      </c>
      <c r="C17" s="24" t="n">
        <v>1</v>
      </c>
      <c r="D17" s="24" t="s">
        <v>206</v>
      </c>
      <c r="E17" s="3" t="s">
        <v>201</v>
      </c>
      <c r="F17" s="3"/>
      <c r="G17" s="24" t="n">
        <v>4</v>
      </c>
      <c r="H17" s="24" t="n">
        <v>9</v>
      </c>
      <c r="I17" s="7" t="str">
        <f aca="false">G17&amp;","&amp;H17</f>
        <v>4,9</v>
      </c>
    </row>
    <row r="18" customFormat="false" ht="15" hidden="false" customHeight="false" outlineLevel="0" collapsed="false">
      <c r="A18" s="24" t="n">
        <v>16</v>
      </c>
      <c r="B18" s="24" t="s">
        <v>66</v>
      </c>
      <c r="C18" s="24" t="n">
        <v>3</v>
      </c>
      <c r="D18" s="24" t="s">
        <v>204</v>
      </c>
      <c r="E18" s="3" t="s">
        <v>201</v>
      </c>
      <c r="F18" s="3"/>
      <c r="G18" s="24" t="n">
        <v>4</v>
      </c>
      <c r="H18" s="24" t="n">
        <v>10</v>
      </c>
      <c r="I18" s="7" t="str">
        <f aca="false">G18&amp;","&amp;H18</f>
        <v>4,10</v>
      </c>
    </row>
    <row r="19" customFormat="false" ht="15" hidden="false" customHeight="false" outlineLevel="0" collapsed="false">
      <c r="A19" s="24" t="n">
        <v>17</v>
      </c>
      <c r="B19" s="24" t="s">
        <v>66</v>
      </c>
      <c r="C19" s="24" t="n">
        <v>3</v>
      </c>
      <c r="D19" s="24" t="s">
        <v>207</v>
      </c>
      <c r="E19" s="3" t="s">
        <v>201</v>
      </c>
      <c r="F19" s="3"/>
      <c r="G19" s="24" t="n">
        <v>5</v>
      </c>
      <c r="H19" s="24" t="n">
        <v>3</v>
      </c>
      <c r="I19" s="7" t="str">
        <f aca="false">G19&amp;","&amp;H19</f>
        <v>5,3</v>
      </c>
    </row>
    <row r="20" customFormat="false" ht="15" hidden="false" customHeight="false" outlineLevel="0" collapsed="false">
      <c r="A20" s="24" t="n">
        <v>18</v>
      </c>
      <c r="B20" s="24" t="s">
        <v>65</v>
      </c>
      <c r="C20" s="24" t="n">
        <v>2</v>
      </c>
      <c r="D20" s="24" t="s">
        <v>200</v>
      </c>
      <c r="E20" s="3" t="s">
        <v>201</v>
      </c>
      <c r="F20" s="3"/>
      <c r="G20" s="24" t="n">
        <v>5</v>
      </c>
      <c r="H20" s="24" t="n">
        <v>4</v>
      </c>
      <c r="I20" s="7" t="str">
        <f aca="false">G20&amp;","&amp;H20</f>
        <v>5,4</v>
      </c>
    </row>
    <row r="21" customFormat="false" ht="15" hidden="false" customHeight="false" outlineLevel="0" collapsed="false">
      <c r="A21" s="24" t="n">
        <v>19</v>
      </c>
      <c r="B21" s="24" t="s">
        <v>64</v>
      </c>
      <c r="C21" s="24" t="n">
        <v>1</v>
      </c>
      <c r="D21" s="24" t="s">
        <v>209</v>
      </c>
      <c r="E21" s="3" t="s">
        <v>201</v>
      </c>
      <c r="F21" s="3"/>
      <c r="G21" s="24" t="n">
        <v>5</v>
      </c>
      <c r="H21" s="24" t="n">
        <v>5</v>
      </c>
      <c r="I21" s="7" t="str">
        <f aca="false">G21&amp;","&amp;H21</f>
        <v>5,5</v>
      </c>
    </row>
    <row r="22" customFormat="false" ht="15" hidden="false" customHeight="false" outlineLevel="0" collapsed="false">
      <c r="A22" s="24" t="n">
        <v>20</v>
      </c>
      <c r="B22" s="24" t="s">
        <v>65</v>
      </c>
      <c r="C22" s="24" t="n">
        <v>2</v>
      </c>
      <c r="D22" s="24" t="s">
        <v>203</v>
      </c>
      <c r="E22" s="3" t="s">
        <v>201</v>
      </c>
      <c r="F22" s="3"/>
      <c r="G22" s="24" t="n">
        <v>5</v>
      </c>
      <c r="H22" s="24" t="n">
        <v>6</v>
      </c>
      <c r="I22" s="7" t="str">
        <f aca="false">G22&amp;","&amp;H22</f>
        <v>5,6</v>
      </c>
    </row>
    <row r="23" customFormat="false" ht="15" hidden="false" customHeight="false" outlineLevel="0" collapsed="false">
      <c r="A23" s="24" t="n">
        <v>21</v>
      </c>
      <c r="B23" s="24" t="s">
        <v>65</v>
      </c>
      <c r="C23" s="24" t="n">
        <v>2</v>
      </c>
      <c r="D23" s="24" t="s">
        <v>204</v>
      </c>
      <c r="E23" s="3" t="s">
        <v>201</v>
      </c>
      <c r="F23" s="3"/>
      <c r="G23" s="24" t="n">
        <v>5</v>
      </c>
      <c r="H23" s="24" t="n">
        <v>7</v>
      </c>
      <c r="I23" s="7" t="str">
        <f aca="false">G23&amp;","&amp;H23</f>
        <v>5,7</v>
      </c>
    </row>
    <row r="24" customFormat="false" ht="15" hidden="false" customHeight="false" outlineLevel="0" collapsed="false">
      <c r="A24" s="24" t="n">
        <v>22</v>
      </c>
      <c r="B24" s="24" t="s">
        <v>65</v>
      </c>
      <c r="C24" s="24" t="n">
        <v>2</v>
      </c>
      <c r="D24" s="24" t="s">
        <v>210</v>
      </c>
      <c r="E24" s="3" t="s">
        <v>201</v>
      </c>
      <c r="F24" s="3"/>
      <c r="G24" s="24" t="n">
        <v>5</v>
      </c>
      <c r="H24" s="24" t="n">
        <v>8</v>
      </c>
      <c r="I24" s="7" t="str">
        <f aca="false">G24&amp;","&amp;H24</f>
        <v>5,8</v>
      </c>
    </row>
    <row r="25" customFormat="false" ht="15" hidden="false" customHeight="false" outlineLevel="0" collapsed="false">
      <c r="A25" s="24" t="n">
        <v>23</v>
      </c>
      <c r="B25" s="24" t="s">
        <v>66</v>
      </c>
      <c r="C25" s="24" t="n">
        <v>3</v>
      </c>
      <c r="D25" s="24" t="s">
        <v>176</v>
      </c>
      <c r="E25" s="3" t="s">
        <v>201</v>
      </c>
      <c r="F25" s="3"/>
      <c r="G25" s="24" t="n">
        <v>5</v>
      </c>
      <c r="H25" s="24" t="n">
        <v>9</v>
      </c>
      <c r="I25" s="7" t="str">
        <f aca="false">G25&amp;","&amp;H25</f>
        <v>5,9</v>
      </c>
    </row>
    <row r="26" customFormat="false" ht="15" hidden="false" customHeight="false" outlineLevel="0" collapsed="false">
      <c r="A26" s="24" t="n">
        <v>24</v>
      </c>
      <c r="B26" s="24" t="s">
        <v>65</v>
      </c>
      <c r="C26" s="24" t="n">
        <v>2</v>
      </c>
      <c r="D26" s="24" t="s">
        <v>205</v>
      </c>
      <c r="E26" s="3" t="s">
        <v>201</v>
      </c>
      <c r="F26" s="3"/>
      <c r="G26" s="24" t="n">
        <v>5</v>
      </c>
      <c r="H26" s="24" t="n">
        <v>10</v>
      </c>
      <c r="I26" s="7" t="str">
        <f aca="false">G26&amp;","&amp;H26</f>
        <v>5,10</v>
      </c>
    </row>
    <row r="27" customFormat="false" ht="15" hidden="false" customHeight="false" outlineLevel="0" collapsed="false">
      <c r="A27" s="24" t="n">
        <v>25</v>
      </c>
      <c r="B27" s="24" t="s">
        <v>65</v>
      </c>
      <c r="C27" s="24" t="n">
        <v>2</v>
      </c>
      <c r="D27" s="24" t="s">
        <v>200</v>
      </c>
      <c r="E27" s="3" t="s">
        <v>201</v>
      </c>
      <c r="F27" s="3"/>
      <c r="G27" s="24" t="n">
        <v>6</v>
      </c>
      <c r="H27" s="24" t="n">
        <v>3</v>
      </c>
      <c r="I27" s="7" t="str">
        <f aca="false">G27&amp;","&amp;H27</f>
        <v>6,3</v>
      </c>
    </row>
    <row r="28" customFormat="false" ht="15" hidden="false" customHeight="false" outlineLevel="0" collapsed="false">
      <c r="A28" s="24" t="n">
        <v>26</v>
      </c>
      <c r="B28" s="24" t="s">
        <v>65</v>
      </c>
      <c r="C28" s="24" t="n">
        <v>2</v>
      </c>
      <c r="D28" s="24" t="s">
        <v>200</v>
      </c>
      <c r="E28" s="3" t="s">
        <v>201</v>
      </c>
      <c r="F28" s="3"/>
      <c r="G28" s="24" t="n">
        <v>6</v>
      </c>
      <c r="H28" s="24" t="n">
        <v>4</v>
      </c>
      <c r="I28" s="7" t="str">
        <f aca="false">G28&amp;","&amp;H28</f>
        <v>6,4</v>
      </c>
    </row>
    <row r="29" customFormat="false" ht="15" hidden="false" customHeight="false" outlineLevel="0" collapsed="false">
      <c r="A29" s="24" t="n">
        <v>27</v>
      </c>
      <c r="B29" s="24" t="s">
        <v>66</v>
      </c>
      <c r="C29" s="24" t="n">
        <v>3</v>
      </c>
      <c r="D29" s="24" t="s">
        <v>200</v>
      </c>
      <c r="E29" s="3" t="s">
        <v>201</v>
      </c>
      <c r="F29" s="3"/>
      <c r="G29" s="24" t="n">
        <v>6</v>
      </c>
      <c r="H29" s="24" t="n">
        <v>5</v>
      </c>
      <c r="I29" s="7" t="str">
        <f aca="false">G29&amp;","&amp;H29</f>
        <v>6,5</v>
      </c>
    </row>
    <row r="30" customFormat="false" ht="15" hidden="false" customHeight="false" outlineLevel="0" collapsed="false">
      <c r="A30" s="24" t="n">
        <v>28</v>
      </c>
      <c r="B30" s="24" t="s">
        <v>66</v>
      </c>
      <c r="C30" s="24" t="n">
        <v>3</v>
      </c>
      <c r="D30" s="24" t="s">
        <v>200</v>
      </c>
      <c r="E30" s="3" t="s">
        <v>201</v>
      </c>
      <c r="F30" s="3"/>
      <c r="G30" s="24" t="n">
        <v>6</v>
      </c>
      <c r="H30" s="24" t="n">
        <v>6</v>
      </c>
      <c r="I30" s="7" t="str">
        <f aca="false">G30&amp;","&amp;H30</f>
        <v>6,6</v>
      </c>
    </row>
    <row r="31" customFormat="false" ht="15" hidden="false" customHeight="false" outlineLevel="0" collapsed="false">
      <c r="A31" s="24" t="n">
        <v>29</v>
      </c>
      <c r="B31" s="24" t="s">
        <v>64</v>
      </c>
      <c r="C31" s="24" t="n">
        <v>1</v>
      </c>
      <c r="D31" s="24" t="s">
        <v>206</v>
      </c>
      <c r="E31" s="3" t="s">
        <v>201</v>
      </c>
      <c r="F31" s="3"/>
      <c r="G31" s="24" t="n">
        <v>6</v>
      </c>
      <c r="H31" s="24" t="n">
        <v>7</v>
      </c>
      <c r="I31" s="7" t="str">
        <f aca="false">G31&amp;","&amp;H31</f>
        <v>6,7</v>
      </c>
    </row>
    <row r="32" customFormat="false" ht="15" hidden="false" customHeight="false" outlineLevel="0" collapsed="false">
      <c r="A32" s="24" t="n">
        <v>30</v>
      </c>
      <c r="B32" s="24" t="s">
        <v>64</v>
      </c>
      <c r="C32" s="24" t="n">
        <v>1</v>
      </c>
      <c r="D32" s="24" t="s">
        <v>205</v>
      </c>
      <c r="E32" s="3" t="s">
        <v>201</v>
      </c>
      <c r="F32" s="3"/>
      <c r="G32" s="24" t="n">
        <v>6</v>
      </c>
      <c r="H32" s="24" t="n">
        <v>8</v>
      </c>
      <c r="I32" s="7" t="str">
        <f aca="false">G32&amp;","&amp;H32</f>
        <v>6,8</v>
      </c>
    </row>
    <row r="33" customFormat="false" ht="15" hidden="false" customHeight="false" outlineLevel="0" collapsed="false">
      <c r="A33" s="24" t="n">
        <v>31</v>
      </c>
      <c r="B33" s="24" t="s">
        <v>66</v>
      </c>
      <c r="C33" s="24" t="n">
        <v>3</v>
      </c>
      <c r="D33" s="24" t="s">
        <v>200</v>
      </c>
      <c r="E33" s="3" t="s">
        <v>201</v>
      </c>
      <c r="F33" s="3"/>
      <c r="G33" s="24" t="n">
        <v>6</v>
      </c>
      <c r="H33" s="24" t="n">
        <v>9</v>
      </c>
      <c r="I33" s="7" t="str">
        <f aca="false">G33&amp;","&amp;H33</f>
        <v>6,9</v>
      </c>
    </row>
    <row r="34" customFormat="false" ht="15" hidden="false" customHeight="false" outlineLevel="0" collapsed="false">
      <c r="A34" s="24" t="n">
        <v>32</v>
      </c>
      <c r="B34" s="24" t="s">
        <v>65</v>
      </c>
      <c r="C34" s="24" t="n">
        <v>2</v>
      </c>
      <c r="D34" s="24" t="s">
        <v>205</v>
      </c>
      <c r="E34" s="3" t="s">
        <v>201</v>
      </c>
      <c r="F34" s="3"/>
      <c r="G34" s="24" t="n">
        <v>6</v>
      </c>
      <c r="H34" s="24" t="n">
        <v>10</v>
      </c>
      <c r="I34" s="7" t="str">
        <f aca="false">G34&amp;","&amp;H34</f>
        <v>6,10</v>
      </c>
    </row>
    <row r="35" customFormat="false" ht="15" hidden="false" customHeight="false" outlineLevel="0" collapsed="false">
      <c r="A35" s="24" t="n">
        <v>33</v>
      </c>
      <c r="B35" s="24" t="s">
        <v>64</v>
      </c>
      <c r="C35" s="24" t="n">
        <v>1</v>
      </c>
      <c r="D35" s="24" t="s">
        <v>206</v>
      </c>
      <c r="E35" s="3" t="s">
        <v>201</v>
      </c>
      <c r="F35" s="3"/>
      <c r="G35" s="24" t="n">
        <v>7</v>
      </c>
      <c r="H35" s="24" t="n">
        <v>3</v>
      </c>
      <c r="I35" s="7" t="str">
        <f aca="false">G35&amp;","&amp;H35</f>
        <v>7,3</v>
      </c>
    </row>
    <row r="36" customFormat="false" ht="15" hidden="false" customHeight="false" outlineLevel="0" collapsed="false">
      <c r="A36" s="24" t="n">
        <v>34</v>
      </c>
      <c r="B36" s="24" t="s">
        <v>64</v>
      </c>
      <c r="C36" s="24" t="n">
        <v>1</v>
      </c>
      <c r="D36" s="24" t="s">
        <v>205</v>
      </c>
      <c r="E36" s="3" t="s">
        <v>201</v>
      </c>
      <c r="F36" s="3"/>
      <c r="G36" s="24" t="n">
        <v>7</v>
      </c>
      <c r="H36" s="24" t="n">
        <v>4</v>
      </c>
      <c r="I36" s="7" t="str">
        <f aca="false">G36&amp;","&amp;H36</f>
        <v>7,4</v>
      </c>
    </row>
    <row r="37" customFormat="false" ht="15" hidden="false" customHeight="false" outlineLevel="0" collapsed="false">
      <c r="A37" s="24" t="n">
        <v>35</v>
      </c>
      <c r="B37" s="24" t="s">
        <v>64</v>
      </c>
      <c r="C37" s="24" t="n">
        <v>1</v>
      </c>
      <c r="D37" s="24" t="s">
        <v>209</v>
      </c>
      <c r="E37" s="3" t="s">
        <v>201</v>
      </c>
      <c r="F37" s="3"/>
      <c r="G37" s="24" t="n">
        <v>7</v>
      </c>
      <c r="H37" s="24" t="n">
        <v>5</v>
      </c>
      <c r="I37" s="7" t="str">
        <f aca="false">G37&amp;","&amp;H37</f>
        <v>7,5</v>
      </c>
    </row>
    <row r="38" customFormat="false" ht="15" hidden="false" customHeight="false" outlineLevel="0" collapsed="false">
      <c r="A38" s="24" t="n">
        <v>36</v>
      </c>
      <c r="B38" s="24" t="s">
        <v>64</v>
      </c>
      <c r="C38" s="24" t="n">
        <v>1</v>
      </c>
      <c r="D38" s="24" t="s">
        <v>207</v>
      </c>
      <c r="E38" s="3" t="s">
        <v>201</v>
      </c>
      <c r="F38" s="3"/>
      <c r="G38" s="24" t="n">
        <v>7</v>
      </c>
      <c r="H38" s="24" t="n">
        <v>6</v>
      </c>
      <c r="I38" s="7" t="str">
        <f aca="false">G38&amp;","&amp;H38</f>
        <v>7,6</v>
      </c>
    </row>
    <row r="39" customFormat="false" ht="15" hidden="false" customHeight="false" outlineLevel="0" collapsed="false">
      <c r="A39" s="24" t="n">
        <v>37</v>
      </c>
      <c r="B39" s="24" t="s">
        <v>64</v>
      </c>
      <c r="C39" s="24" t="n">
        <v>1</v>
      </c>
      <c r="D39" s="24" t="s">
        <v>204</v>
      </c>
      <c r="E39" s="3" t="s">
        <v>201</v>
      </c>
      <c r="F39" s="3"/>
      <c r="G39" s="24" t="n">
        <v>7</v>
      </c>
      <c r="H39" s="24" t="n">
        <v>7</v>
      </c>
      <c r="I39" s="7" t="str">
        <f aca="false">G39&amp;","&amp;H39</f>
        <v>7,7</v>
      </c>
    </row>
    <row r="40" customFormat="false" ht="15" hidden="false" customHeight="false" outlineLevel="0" collapsed="false">
      <c r="A40" s="24" t="n">
        <v>38</v>
      </c>
      <c r="B40" s="24" t="s">
        <v>65</v>
      </c>
      <c r="C40" s="24" t="n">
        <v>2</v>
      </c>
      <c r="D40" s="24" t="s">
        <v>200</v>
      </c>
      <c r="E40" s="3" t="s">
        <v>201</v>
      </c>
      <c r="F40" s="3"/>
      <c r="G40" s="24" t="n">
        <v>7</v>
      </c>
      <c r="H40" s="24" t="n">
        <v>8</v>
      </c>
      <c r="I40" s="7" t="str">
        <f aca="false">G40&amp;","&amp;H40</f>
        <v>7,8</v>
      </c>
    </row>
    <row r="41" customFormat="false" ht="15" hidden="false" customHeight="false" outlineLevel="0" collapsed="false">
      <c r="A41" s="24" t="n">
        <v>39</v>
      </c>
      <c r="B41" s="24" t="s">
        <v>64</v>
      </c>
      <c r="C41" s="24" t="n">
        <v>1</v>
      </c>
      <c r="D41" s="24" t="s">
        <v>179</v>
      </c>
      <c r="E41" s="3" t="s">
        <v>201</v>
      </c>
      <c r="F41" s="3"/>
      <c r="G41" s="24" t="n">
        <v>7</v>
      </c>
      <c r="H41" s="24" t="n">
        <v>9</v>
      </c>
      <c r="I41" s="7" t="str">
        <f aca="false">G41&amp;","&amp;H41</f>
        <v>7,9</v>
      </c>
    </row>
    <row r="42" customFormat="false" ht="15" hidden="false" customHeight="false" outlineLevel="0" collapsed="false">
      <c r="A42" s="24" t="n">
        <v>40</v>
      </c>
      <c r="B42" s="24" t="s">
        <v>64</v>
      </c>
      <c r="C42" s="24" t="n">
        <v>1</v>
      </c>
      <c r="D42" s="24" t="s">
        <v>206</v>
      </c>
      <c r="E42" s="3" t="s">
        <v>201</v>
      </c>
      <c r="F42" s="3"/>
      <c r="G42" s="24" t="n">
        <v>7</v>
      </c>
      <c r="H42" s="24" t="n">
        <v>10</v>
      </c>
      <c r="I42" s="7" t="str">
        <f aca="false">G42&amp;","&amp;H42</f>
        <v>7,10</v>
      </c>
    </row>
  </sheetData>
  <mergeCells count="1">
    <mergeCell ref="A1:I1"/>
  </mergeCells>
  <conditionalFormatting sqref="E3:E42">
    <cfRule type="cellIs" priority="2" operator="equal" aboveAverage="0" equalAverage="0" bottom="0" percent="0" rank="0" text="" dxfId="10">
      <formula>"removido"</formula>
    </cfRule>
  </conditionalFormatting>
  <conditionalFormatting sqref="B3:B42">
    <cfRule type="cellIs" priority="3" operator="equal" aboveAverage="0" equalAverage="0" bottom="0" percent="0" rank="0" text="" dxfId="1">
      <formula>"Playa"</formula>
    </cfRule>
    <cfRule type="cellIs" priority="4" operator="equal" aboveAverage="0" equalAverage="0" bottom="0" percent="0" rank="0" text="" dxfId="11">
      <formula>"Bosque"</formula>
    </cfRule>
    <cfRule type="cellIs" priority="5" operator="equal" aboveAverage="0" equalAverage="0" bottom="0" percent="0" rank="0" text="" dxfId="12">
      <formula>"Montana"</formula>
    </cfRule>
  </conditionalFormatting>
  <conditionalFormatting sqref="D3:D42">
    <cfRule type="cellIs" priority="6" operator="equal" aboveAverage="0" equalAverage="0" bottom="0" percent="0" rank="0" text="" dxfId="13">
      <formula>"INM_Volcan"</formula>
    </cfRule>
  </conditionalFormatting>
  <dataValidations count="1">
    <dataValidation allowBlank="false" errorStyle="stop" operator="between" showDropDown="false" showErrorMessage="false" showInputMessage="false" sqref="E3:E42" type="list">
      <formula1>"en juego,removido"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6D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8"/>
  </cols>
  <sheetData>
    <row r="1" customFormat="false" ht="27.75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8" t="n">
        <v>1</v>
      </c>
      <c r="B2" s="3" t="n">
        <v>1</v>
      </c>
      <c r="C2" s="28" t="n">
        <v>1</v>
      </c>
      <c r="D2" s="10" t="str">
        <f aca="false">CHOOSE(B2,"Rojo","Turquesa","Amarillo","Verde menta","Purpura","Salmon")</f>
        <v>Rojo</v>
      </c>
      <c r="E2" s="3" t="n">
        <v>1</v>
      </c>
      <c r="F2" s="7" t="n">
        <f aca="false">IF(OR(CONTROL!$F$3=B2,G2&lt;&gt;"Tierra"),E2,"???")</f>
        <v>1</v>
      </c>
      <c r="G2" s="3" t="s">
        <v>212</v>
      </c>
      <c r="H2" s="3" t="n">
        <v>3</v>
      </c>
      <c r="I2" s="3" t="n">
        <v>3</v>
      </c>
    </row>
    <row r="3" customFormat="false" ht="15" hidden="false" customHeight="false" outlineLevel="0" collapsed="false">
      <c r="A3" s="24" t="n">
        <v>2</v>
      </c>
      <c r="B3" s="3" t="n">
        <v>1</v>
      </c>
      <c r="C3" s="24" t="n">
        <v>2</v>
      </c>
      <c r="D3" s="10" t="str">
        <f aca="false">CHOOSE(B3,"Rojo","Turquesa","Amarillo","Verde menta","Purpura","Salmon")</f>
        <v>Rojo</v>
      </c>
      <c r="E3" s="3" t="n">
        <v>1</v>
      </c>
      <c r="F3" s="7" t="n">
        <f aca="false">IF(OR(CONTROL!$F$3=B3,G3&lt;&gt;"Tierra"),E3,"???")</f>
        <v>1</v>
      </c>
      <c r="G3" s="3" t="s">
        <v>212</v>
      </c>
      <c r="H3" s="3" t="n">
        <v>3</v>
      </c>
      <c r="I3" s="3" t="n">
        <v>4</v>
      </c>
    </row>
    <row r="4" customFormat="false" ht="15" hidden="false" customHeight="false" outlineLevel="0" collapsed="false">
      <c r="A4" s="24" t="n">
        <v>3</v>
      </c>
      <c r="B4" s="3" t="n">
        <v>1</v>
      </c>
      <c r="C4" s="24" t="n">
        <v>3</v>
      </c>
      <c r="D4" s="10" t="str">
        <f aca="false">CHOOSE(B4,"Rojo","Turquesa","Amarillo","Verde menta","Purpura","Salmon")</f>
        <v>Rojo</v>
      </c>
      <c r="E4" s="3" t="n">
        <v>1</v>
      </c>
      <c r="F4" s="7" t="n">
        <f aca="false">IF(OR(CONTROL!$F$3=B4,G4&lt;&gt;"Tierra"),E4,"???")</f>
        <v>1</v>
      </c>
      <c r="G4" s="3" t="s">
        <v>212</v>
      </c>
      <c r="H4" s="3" t="n">
        <v>3</v>
      </c>
      <c r="I4" s="3" t="n">
        <v>5</v>
      </c>
    </row>
    <row r="5" customFormat="false" ht="15" hidden="false" customHeight="false" outlineLevel="0" collapsed="false">
      <c r="A5" s="24" t="n">
        <v>4</v>
      </c>
      <c r="B5" s="3" t="n">
        <v>1</v>
      </c>
      <c r="C5" s="24" t="n">
        <v>4</v>
      </c>
      <c r="D5" s="10" t="str">
        <f aca="false">CHOOSE(B5,"Rojo","Turquesa","Amarillo","Verde menta","Purpura","Salmon")</f>
        <v>Rojo</v>
      </c>
      <c r="E5" s="3" t="n">
        <v>2</v>
      </c>
      <c r="F5" s="7" t="n">
        <f aca="false">IF(OR(CONTROL!$F$3=B5,G5&lt;&gt;"Tierra"),E5,"???")</f>
        <v>2</v>
      </c>
      <c r="G5" s="3" t="s">
        <v>212</v>
      </c>
      <c r="H5" s="3" t="n">
        <v>3</v>
      </c>
      <c r="I5" s="3" t="n">
        <v>6</v>
      </c>
    </row>
    <row r="6" customFormat="false" ht="15" hidden="false" customHeight="false" outlineLevel="0" collapsed="false">
      <c r="A6" s="24" t="n">
        <v>5</v>
      </c>
      <c r="B6" s="3" t="n">
        <v>1</v>
      </c>
      <c r="C6" s="24" t="n">
        <v>5</v>
      </c>
      <c r="D6" s="10" t="str">
        <f aca="false">CHOOSE(B6,"Rojo","Turquesa","Amarillo","Verde menta","Purpura","Salmon")</f>
        <v>Rojo</v>
      </c>
      <c r="E6" s="3" t="n">
        <v>2</v>
      </c>
      <c r="F6" s="7" t="n">
        <f aca="false">IF(OR(CONTROL!$F$3=B6,G6&lt;&gt;"Tierra"),E6,"???")</f>
        <v>2</v>
      </c>
      <c r="G6" s="3" t="s">
        <v>212</v>
      </c>
      <c r="H6" s="3" t="n">
        <v>3</v>
      </c>
      <c r="I6" s="3" t="n">
        <v>7</v>
      </c>
    </row>
    <row r="7" customFormat="false" ht="15" hidden="false" customHeight="false" outlineLevel="0" collapsed="false">
      <c r="A7" s="24" t="n">
        <v>6</v>
      </c>
      <c r="B7" s="3" t="n">
        <v>1</v>
      </c>
      <c r="C7" s="24" t="n">
        <v>6</v>
      </c>
      <c r="D7" s="10" t="str">
        <f aca="false">CHOOSE(B7,"Rojo","Turquesa","Amarillo","Verde menta","Purpura","Salmon")</f>
        <v>Rojo</v>
      </c>
      <c r="E7" s="3" t="n">
        <v>3</v>
      </c>
      <c r="F7" s="7" t="n">
        <f aca="false">IF(OR(CONTROL!$F$3=B7,G7&lt;&gt;"Tierra"),E7,"???")</f>
        <v>3</v>
      </c>
      <c r="G7" s="3" t="s">
        <v>212</v>
      </c>
      <c r="H7" s="3" t="n">
        <v>3</v>
      </c>
      <c r="I7" s="3" t="n">
        <v>8</v>
      </c>
    </row>
    <row r="8" customFormat="false" ht="15" hidden="false" customHeight="false" outlineLevel="0" collapsed="false">
      <c r="A8" s="24" t="n">
        <v>7</v>
      </c>
      <c r="B8" s="3" t="n">
        <v>1</v>
      </c>
      <c r="C8" s="24" t="n">
        <v>7</v>
      </c>
      <c r="D8" s="10" t="str">
        <f aca="false">CHOOSE(B8,"Rojo","Turquesa","Amarillo","Verde menta","Purpura","Salmon")</f>
        <v>Rojo</v>
      </c>
      <c r="E8" s="3" t="n">
        <v>3</v>
      </c>
      <c r="F8" s="7" t="n">
        <f aca="false">IF(OR(CONTROL!$F$3=B8,G8&lt;&gt;"Tierra"),E8,"???")</f>
        <v>3</v>
      </c>
      <c r="G8" s="3" t="s">
        <v>212</v>
      </c>
      <c r="H8" s="3" t="n">
        <v>3</v>
      </c>
      <c r="I8" s="3" t="n">
        <v>9</v>
      </c>
    </row>
    <row r="9" customFormat="false" ht="15" hidden="false" customHeight="false" outlineLevel="0" collapsed="false">
      <c r="A9" s="24" t="n">
        <v>8</v>
      </c>
      <c r="B9" s="3" t="n">
        <v>1</v>
      </c>
      <c r="C9" s="24" t="n">
        <v>8</v>
      </c>
      <c r="D9" s="10" t="str">
        <f aca="false">CHOOSE(B9,"Rojo","Turquesa","Amarillo","Verde menta","Purpura","Salmon")</f>
        <v>Rojo</v>
      </c>
      <c r="E9" s="3" t="n">
        <v>4</v>
      </c>
      <c r="F9" s="7" t="n">
        <f aca="false">IF(OR(CONTROL!$F$3=B9,G9&lt;&gt;"Tierra"),E9,"???")</f>
        <v>4</v>
      </c>
      <c r="G9" s="3" t="s">
        <v>212</v>
      </c>
      <c r="H9" s="3" t="n">
        <v>3</v>
      </c>
      <c r="I9" s="3" t="n">
        <v>10</v>
      </c>
    </row>
    <row r="10" customFormat="false" ht="15" hidden="false" customHeight="false" outlineLevel="0" collapsed="false">
      <c r="A10" s="24" t="n">
        <v>9</v>
      </c>
      <c r="B10" s="3" t="n">
        <v>1</v>
      </c>
      <c r="C10" s="24" t="n">
        <v>9</v>
      </c>
      <c r="D10" s="10" t="str">
        <f aca="false">CHOOSE(B10,"Rojo","Turquesa","Amarillo","Verde menta","Purpura","Salmon")</f>
        <v>Rojo</v>
      </c>
      <c r="E10" s="3" t="n">
        <v>5</v>
      </c>
      <c r="F10" s="7" t="n">
        <f aca="false">IF(OR(CONTROL!$F$3=B10,G10&lt;&gt;"Tierra"),E10,"???")</f>
        <v>5</v>
      </c>
      <c r="G10" s="3" t="s">
        <v>212</v>
      </c>
      <c r="H10" s="3" t="n">
        <v>4</v>
      </c>
      <c r="I10" s="3" t="n">
        <v>3</v>
      </c>
    </row>
    <row r="11" customFormat="false" ht="15" hidden="false" customHeight="false" outlineLevel="0" collapsed="false">
      <c r="A11" s="24" t="n">
        <v>10</v>
      </c>
      <c r="B11" s="3" t="n">
        <v>1</v>
      </c>
      <c r="C11" s="24" t="n">
        <v>10</v>
      </c>
      <c r="D11" s="10" t="str">
        <f aca="false">CHOOSE(B11,"Rojo","Turquesa","Amarillo","Verde menta","Purpura","Salmon")</f>
        <v>Rojo</v>
      </c>
      <c r="E11" s="3" t="n">
        <v>6</v>
      </c>
      <c r="F11" s="7" t="n">
        <f aca="false">IF(OR(CONTROL!$F$3=B11,G11&lt;&gt;"Tierra"),E11,"???")</f>
        <v>6</v>
      </c>
      <c r="G11" s="3" t="s">
        <v>212</v>
      </c>
      <c r="H11" s="3" t="n">
        <v>4</v>
      </c>
      <c r="I11" s="3" t="n">
        <v>4</v>
      </c>
    </row>
    <row r="12" customFormat="false" ht="15" hidden="false" customHeight="false" outlineLevel="0" collapsed="false">
      <c r="A12" s="24" t="n">
        <v>11</v>
      </c>
      <c r="B12" s="3" t="n">
        <v>2</v>
      </c>
      <c r="C12" s="24" t="n">
        <v>1</v>
      </c>
      <c r="D12" s="10" t="str">
        <f aca="false">CHOOSE(B12,"Rojo","Turquesa","Amarillo","Verde menta","Purpura","Salmon")</f>
        <v>Turquesa</v>
      </c>
      <c r="E12" s="3" t="n">
        <v>1</v>
      </c>
      <c r="F12" s="7" t="str">
        <f aca="false">IF(OR(CONTROL!$F$3=B12,G12&lt;&gt;"Tierra"),E12,"???")</f>
        <v>???</v>
      </c>
      <c r="G12" s="3" t="s">
        <v>212</v>
      </c>
      <c r="H12" s="3" t="n">
        <v>4</v>
      </c>
      <c r="I12" s="3" t="n">
        <v>5</v>
      </c>
    </row>
    <row r="13" customFormat="false" ht="15" hidden="false" customHeight="false" outlineLevel="0" collapsed="false">
      <c r="A13" s="24" t="n">
        <v>12</v>
      </c>
      <c r="B13" s="3" t="n">
        <v>2</v>
      </c>
      <c r="C13" s="24" t="n">
        <v>2</v>
      </c>
      <c r="D13" s="10" t="str">
        <f aca="false">CHOOSE(B13,"Rojo","Turquesa","Amarillo","Verde menta","Purpura","Salmon")</f>
        <v>Turquesa</v>
      </c>
      <c r="E13" s="3" t="n">
        <v>1</v>
      </c>
      <c r="F13" s="7" t="str">
        <f aca="false">IF(OR(CONTROL!$F$3=B13,G13&lt;&gt;"Tierra"),E13,"???")</f>
        <v>???</v>
      </c>
      <c r="G13" s="3" t="s">
        <v>212</v>
      </c>
      <c r="H13" s="3" t="n">
        <v>4</v>
      </c>
      <c r="I13" s="3" t="n">
        <v>6</v>
      </c>
    </row>
    <row r="14" customFormat="false" ht="15" hidden="false" customHeight="false" outlineLevel="0" collapsed="false">
      <c r="A14" s="24" t="n">
        <v>13</v>
      </c>
      <c r="B14" s="3" t="n">
        <v>2</v>
      </c>
      <c r="C14" s="24" t="n">
        <v>3</v>
      </c>
      <c r="D14" s="10" t="str">
        <f aca="false">CHOOSE(B14,"Rojo","Turquesa","Amarillo","Verde menta","Purpura","Salmon")</f>
        <v>Turquesa</v>
      </c>
      <c r="E14" s="3" t="n">
        <v>1</v>
      </c>
      <c r="F14" s="7" t="str">
        <f aca="false">IF(OR(CONTROL!$F$3=B14,G14&lt;&gt;"Tierra"),E14,"???")</f>
        <v>???</v>
      </c>
      <c r="G14" s="3" t="s">
        <v>212</v>
      </c>
      <c r="H14" s="3" t="n">
        <v>4</v>
      </c>
      <c r="I14" s="3" t="n">
        <v>7</v>
      </c>
    </row>
    <row r="15" customFormat="false" ht="15" hidden="false" customHeight="false" outlineLevel="0" collapsed="false">
      <c r="A15" s="24" t="n">
        <v>14</v>
      </c>
      <c r="B15" s="3" t="n">
        <v>2</v>
      </c>
      <c r="C15" s="24" t="n">
        <v>4</v>
      </c>
      <c r="D15" s="10" t="str">
        <f aca="false">CHOOSE(B15,"Rojo","Turquesa","Amarillo","Verde menta","Purpura","Salmon")</f>
        <v>Turquesa</v>
      </c>
      <c r="E15" s="3" t="n">
        <v>2</v>
      </c>
      <c r="F15" s="7" t="str">
        <f aca="false">IF(OR(CONTROL!$F$3=B15,G15&lt;&gt;"Tierra"),E15,"???")</f>
        <v>???</v>
      </c>
      <c r="G15" s="3" t="s">
        <v>212</v>
      </c>
      <c r="H15" s="3" t="n">
        <v>4</v>
      </c>
      <c r="I15" s="3" t="n">
        <v>8</v>
      </c>
    </row>
    <row r="16" customFormat="false" ht="15" hidden="false" customHeight="false" outlineLevel="0" collapsed="false">
      <c r="A16" s="24" t="n">
        <v>15</v>
      </c>
      <c r="B16" s="3" t="n">
        <v>2</v>
      </c>
      <c r="C16" s="24" t="n">
        <v>5</v>
      </c>
      <c r="D16" s="10" t="str">
        <f aca="false">CHOOSE(B16,"Rojo","Turquesa","Amarillo","Verde menta","Purpura","Salmon")</f>
        <v>Turquesa</v>
      </c>
      <c r="E16" s="3" t="n">
        <v>2</v>
      </c>
      <c r="F16" s="7" t="str">
        <f aca="false">IF(OR(CONTROL!$F$3=B16,G16&lt;&gt;"Tierra"),E16,"???")</f>
        <v>???</v>
      </c>
      <c r="G16" s="3" t="s">
        <v>212</v>
      </c>
      <c r="H16" s="3" t="n">
        <v>4</v>
      </c>
      <c r="I16" s="3" t="n">
        <v>9</v>
      </c>
    </row>
    <row r="17" customFormat="false" ht="15" hidden="false" customHeight="false" outlineLevel="0" collapsed="false">
      <c r="A17" s="24" t="n">
        <v>16</v>
      </c>
      <c r="B17" s="3" t="n">
        <v>2</v>
      </c>
      <c r="C17" s="24" t="n">
        <v>6</v>
      </c>
      <c r="D17" s="10" t="str">
        <f aca="false">CHOOSE(B17,"Rojo","Turquesa","Amarillo","Verde menta","Purpura","Salmon")</f>
        <v>Turquesa</v>
      </c>
      <c r="E17" s="3" t="n">
        <v>3</v>
      </c>
      <c r="F17" s="7" t="str">
        <f aca="false">IF(OR(CONTROL!$F$3=B17,G17&lt;&gt;"Tierra"),E17,"???")</f>
        <v>???</v>
      </c>
      <c r="G17" s="3" t="s">
        <v>212</v>
      </c>
      <c r="H17" s="3" t="n">
        <v>4</v>
      </c>
      <c r="I17" s="3" t="n">
        <v>10</v>
      </c>
    </row>
    <row r="18" customFormat="false" ht="15" hidden="false" customHeight="false" outlineLevel="0" collapsed="false">
      <c r="A18" s="24" t="n">
        <v>17</v>
      </c>
      <c r="B18" s="3" t="n">
        <v>2</v>
      </c>
      <c r="C18" s="24" t="n">
        <v>7</v>
      </c>
      <c r="D18" s="10" t="str">
        <f aca="false">CHOOSE(B18,"Rojo","Turquesa","Amarillo","Verde menta","Purpura","Salmon")</f>
        <v>Turquesa</v>
      </c>
      <c r="E18" s="3" t="n">
        <v>3</v>
      </c>
      <c r="F18" s="7" t="str">
        <f aca="false">IF(OR(CONTROL!$F$3=B18,G18&lt;&gt;"Tierra"),E18,"???")</f>
        <v>???</v>
      </c>
      <c r="G18" s="3" t="s">
        <v>212</v>
      </c>
      <c r="H18" s="3" t="n">
        <v>5</v>
      </c>
      <c r="I18" s="3" t="n">
        <v>3</v>
      </c>
    </row>
    <row r="19" customFormat="false" ht="15" hidden="false" customHeight="false" outlineLevel="0" collapsed="false">
      <c r="A19" s="24" t="n">
        <v>18</v>
      </c>
      <c r="B19" s="3" t="n">
        <v>2</v>
      </c>
      <c r="C19" s="24" t="n">
        <v>8</v>
      </c>
      <c r="D19" s="10" t="str">
        <f aca="false">CHOOSE(B19,"Rojo","Turquesa","Amarillo","Verde menta","Purpura","Salmon")</f>
        <v>Turquesa</v>
      </c>
      <c r="E19" s="3" t="n">
        <v>4</v>
      </c>
      <c r="F19" s="7" t="str">
        <f aca="false">IF(OR(CONTROL!$F$3=B19,G19&lt;&gt;"Tierra"),E19,"???")</f>
        <v>???</v>
      </c>
      <c r="G19" s="3" t="s">
        <v>212</v>
      </c>
      <c r="H19" s="3" t="n">
        <v>5</v>
      </c>
      <c r="I19" s="3" t="n">
        <v>4</v>
      </c>
    </row>
    <row r="20" customFormat="false" ht="15" hidden="false" customHeight="false" outlineLevel="0" collapsed="false">
      <c r="A20" s="24" t="n">
        <v>19</v>
      </c>
      <c r="B20" s="3" t="n">
        <v>2</v>
      </c>
      <c r="C20" s="24" t="n">
        <v>9</v>
      </c>
      <c r="D20" s="10" t="str">
        <f aca="false">CHOOSE(B20,"Rojo","Turquesa","Amarillo","Verde menta","Purpura","Salmon")</f>
        <v>Turquesa</v>
      </c>
      <c r="E20" s="3" t="n">
        <v>5</v>
      </c>
      <c r="F20" s="7" t="str">
        <f aca="false">IF(OR(CONTROL!$F$3=B20,G20&lt;&gt;"Tierra"),E20,"???")</f>
        <v>???</v>
      </c>
      <c r="G20" s="3" t="s">
        <v>212</v>
      </c>
      <c r="H20" s="3" t="n">
        <v>5</v>
      </c>
      <c r="I20" s="3" t="n">
        <v>5</v>
      </c>
    </row>
    <row r="21" customFormat="false" ht="15" hidden="false" customHeight="false" outlineLevel="0" collapsed="false">
      <c r="A21" s="24" t="n">
        <v>20</v>
      </c>
      <c r="B21" s="3" t="n">
        <v>2</v>
      </c>
      <c r="C21" s="24" t="n">
        <v>10</v>
      </c>
      <c r="D21" s="10" t="str">
        <f aca="false">CHOOSE(B21,"Rojo","Turquesa","Amarillo","Verde menta","Purpura","Salmon")</f>
        <v>Turquesa</v>
      </c>
      <c r="E21" s="3" t="n">
        <v>6</v>
      </c>
      <c r="F21" s="7" t="str">
        <f aca="false">IF(OR(CONTROL!$F$3=B21,G21&lt;&gt;"Tierra"),E21,"???")</f>
        <v>???</v>
      </c>
      <c r="G21" s="3" t="s">
        <v>212</v>
      </c>
      <c r="H21" s="3" t="n">
        <v>5</v>
      </c>
      <c r="I21" s="3" t="n">
        <v>6</v>
      </c>
    </row>
    <row r="22" customFormat="false" ht="15" hidden="false" customHeight="false" outlineLevel="0" collapsed="false">
      <c r="A22" s="24" t="n">
        <v>21</v>
      </c>
      <c r="B22" s="3" t="n">
        <v>3</v>
      </c>
      <c r="C22" s="24" t="n">
        <v>1</v>
      </c>
      <c r="D22" s="10" t="str">
        <f aca="false">CHOOSE(B22,"Rojo","Turquesa","Amarillo","Verde menta","Purpura","Salmon")</f>
        <v>Amarillo</v>
      </c>
      <c r="E22" s="3" t="n">
        <v>1</v>
      </c>
      <c r="F22" s="7" t="str">
        <f aca="false">IF(OR(CONTROL!$F$3=B22,G22&lt;&gt;"Tierra"),E22,"???")</f>
        <v>???</v>
      </c>
      <c r="G22" s="3" t="s">
        <v>212</v>
      </c>
      <c r="H22" s="3" t="n">
        <v>5</v>
      </c>
      <c r="I22" s="3" t="n">
        <v>7</v>
      </c>
    </row>
    <row r="23" customFormat="false" ht="15" hidden="false" customHeight="false" outlineLevel="0" collapsed="false">
      <c r="A23" s="24" t="n">
        <v>22</v>
      </c>
      <c r="B23" s="3" t="n">
        <v>3</v>
      </c>
      <c r="C23" s="24" t="n">
        <v>2</v>
      </c>
      <c r="D23" s="10" t="str">
        <f aca="false">CHOOSE(B23,"Rojo","Turquesa","Amarillo","Verde menta","Purpura","Salmon")</f>
        <v>Amarillo</v>
      </c>
      <c r="E23" s="3" t="n">
        <v>1</v>
      </c>
      <c r="F23" s="7" t="str">
        <f aca="false">IF(OR(CONTROL!$F$3=B23,G23&lt;&gt;"Tierra"),E23,"???")</f>
        <v>???</v>
      </c>
      <c r="G23" s="3" t="s">
        <v>212</v>
      </c>
      <c r="H23" s="3" t="n">
        <v>5</v>
      </c>
      <c r="I23" s="3" t="n">
        <v>8</v>
      </c>
    </row>
    <row r="24" customFormat="false" ht="15" hidden="false" customHeight="false" outlineLevel="0" collapsed="false">
      <c r="A24" s="24" t="n">
        <v>23</v>
      </c>
      <c r="B24" s="3" t="n">
        <v>3</v>
      </c>
      <c r="C24" s="24" t="n">
        <v>3</v>
      </c>
      <c r="D24" s="10" t="str">
        <f aca="false">CHOOSE(B24,"Rojo","Turquesa","Amarillo","Verde menta","Purpura","Salmon")</f>
        <v>Amarillo</v>
      </c>
      <c r="E24" s="3" t="n">
        <v>1</v>
      </c>
      <c r="F24" s="7" t="str">
        <f aca="false">IF(OR(CONTROL!$F$3=B24,G24&lt;&gt;"Tierra"),E24,"???")</f>
        <v>???</v>
      </c>
      <c r="G24" s="3" t="s">
        <v>212</v>
      </c>
      <c r="H24" s="3" t="n">
        <v>5</v>
      </c>
      <c r="I24" s="3" t="n">
        <v>9</v>
      </c>
    </row>
    <row r="25" customFormat="false" ht="15" hidden="false" customHeight="false" outlineLevel="0" collapsed="false">
      <c r="A25" s="24" t="n">
        <v>24</v>
      </c>
      <c r="B25" s="3" t="n">
        <v>3</v>
      </c>
      <c r="C25" s="24" t="n">
        <v>4</v>
      </c>
      <c r="D25" s="10" t="str">
        <f aca="false">CHOOSE(B25,"Rojo","Turquesa","Amarillo","Verde menta","Purpura","Salmon")</f>
        <v>Amarillo</v>
      </c>
      <c r="E25" s="3" t="n">
        <v>2</v>
      </c>
      <c r="F25" s="7" t="str">
        <f aca="false">IF(OR(CONTROL!$F$3=B25,G25&lt;&gt;"Tierra"),E25,"???")</f>
        <v>???</v>
      </c>
      <c r="G25" s="3" t="s">
        <v>212</v>
      </c>
      <c r="H25" s="3" t="n">
        <v>5</v>
      </c>
      <c r="I25" s="3" t="n">
        <v>10</v>
      </c>
    </row>
    <row r="26" customFormat="false" ht="15" hidden="false" customHeight="false" outlineLevel="0" collapsed="false">
      <c r="A26" s="24" t="n">
        <v>25</v>
      </c>
      <c r="B26" s="3" t="n">
        <v>3</v>
      </c>
      <c r="C26" s="24" t="n">
        <v>5</v>
      </c>
      <c r="D26" s="10" t="str">
        <f aca="false">CHOOSE(B26,"Rojo","Turquesa","Amarillo","Verde menta","Purpura","Salmon")</f>
        <v>Amarillo</v>
      </c>
      <c r="E26" s="3" t="n">
        <v>2</v>
      </c>
      <c r="F26" s="7" t="str">
        <f aca="false">IF(OR(CONTROL!$F$3=B26,G26&lt;&gt;"Tierra"),E26,"???")</f>
        <v>???</v>
      </c>
      <c r="G26" s="3" t="s">
        <v>212</v>
      </c>
      <c r="H26" s="3" t="n">
        <v>6</v>
      </c>
      <c r="I26" s="3" t="n">
        <v>3</v>
      </c>
    </row>
    <row r="27" customFormat="false" ht="15" hidden="false" customHeight="false" outlineLevel="0" collapsed="false">
      <c r="A27" s="24" t="n">
        <v>26</v>
      </c>
      <c r="B27" s="3" t="n">
        <v>3</v>
      </c>
      <c r="C27" s="24" t="n">
        <v>6</v>
      </c>
      <c r="D27" s="10" t="str">
        <f aca="false">CHOOSE(B27,"Rojo","Turquesa","Amarillo","Verde menta","Purpura","Salmon")</f>
        <v>Amarillo</v>
      </c>
      <c r="E27" s="3" t="n">
        <v>3</v>
      </c>
      <c r="F27" s="7" t="str">
        <f aca="false">IF(OR(CONTROL!$F$3=B27,G27&lt;&gt;"Tierra"),E27,"???")</f>
        <v>???</v>
      </c>
      <c r="G27" s="3" t="s">
        <v>212</v>
      </c>
      <c r="H27" s="3" t="n">
        <v>6</v>
      </c>
      <c r="I27" s="3" t="n">
        <v>4</v>
      </c>
    </row>
    <row r="28" customFormat="false" ht="15" hidden="false" customHeight="false" outlineLevel="0" collapsed="false">
      <c r="A28" s="24" t="n">
        <v>27</v>
      </c>
      <c r="B28" s="3" t="n">
        <v>3</v>
      </c>
      <c r="C28" s="24" t="n">
        <v>7</v>
      </c>
      <c r="D28" s="10" t="str">
        <f aca="false">CHOOSE(B28,"Rojo","Turquesa","Amarillo","Verde menta","Purpura","Salmon")</f>
        <v>Amarillo</v>
      </c>
      <c r="E28" s="3" t="n">
        <v>3</v>
      </c>
      <c r="F28" s="7" t="str">
        <f aca="false">IF(OR(CONTROL!$F$3=B28,G28&lt;&gt;"Tierra"),E28,"???")</f>
        <v>???</v>
      </c>
      <c r="G28" s="3" t="s">
        <v>212</v>
      </c>
      <c r="H28" s="3" t="n">
        <v>6</v>
      </c>
      <c r="I28" s="3" t="n">
        <v>5</v>
      </c>
    </row>
    <row r="29" customFormat="false" ht="15" hidden="false" customHeight="false" outlineLevel="0" collapsed="false">
      <c r="A29" s="24" t="n">
        <v>28</v>
      </c>
      <c r="B29" s="3" t="n">
        <v>3</v>
      </c>
      <c r="C29" s="24" t="n">
        <v>8</v>
      </c>
      <c r="D29" s="10" t="str">
        <f aca="false">CHOOSE(B29,"Rojo","Turquesa","Amarillo","Verde menta","Purpura","Salmon")</f>
        <v>Amarillo</v>
      </c>
      <c r="E29" s="3" t="n">
        <v>4</v>
      </c>
      <c r="F29" s="7" t="str">
        <f aca="false">IF(OR(CONTROL!$F$3=B29,G29&lt;&gt;"Tierra"),E29,"???")</f>
        <v>???</v>
      </c>
      <c r="G29" s="3" t="s">
        <v>212</v>
      </c>
      <c r="H29" s="3" t="n">
        <v>6</v>
      </c>
      <c r="I29" s="3" t="n">
        <v>6</v>
      </c>
    </row>
    <row r="30" customFormat="false" ht="15" hidden="false" customHeight="false" outlineLevel="0" collapsed="false">
      <c r="A30" s="24" t="n">
        <v>29</v>
      </c>
      <c r="B30" s="3" t="n">
        <v>3</v>
      </c>
      <c r="C30" s="24" t="n">
        <v>9</v>
      </c>
      <c r="D30" s="10" t="str">
        <f aca="false">CHOOSE(B30,"Rojo","Turquesa","Amarillo","Verde menta","Purpura","Salmon")</f>
        <v>Amarillo</v>
      </c>
      <c r="E30" s="3" t="n">
        <v>5</v>
      </c>
      <c r="F30" s="7" t="str">
        <f aca="false">IF(OR(CONTROL!$F$3=B30,G30&lt;&gt;"Tierra"),E30,"???")</f>
        <v>???</v>
      </c>
      <c r="G30" s="3" t="s">
        <v>212</v>
      </c>
      <c r="H30" s="3" t="n">
        <v>6</v>
      </c>
      <c r="I30" s="3" t="n">
        <v>7</v>
      </c>
    </row>
    <row r="31" customFormat="false" ht="15" hidden="false" customHeight="false" outlineLevel="0" collapsed="false">
      <c r="A31" s="24" t="n">
        <v>30</v>
      </c>
      <c r="B31" s="3" t="n">
        <v>3</v>
      </c>
      <c r="C31" s="24" t="n">
        <v>10</v>
      </c>
      <c r="D31" s="10" t="str">
        <f aca="false">CHOOSE(B31,"Rojo","Turquesa","Amarillo","Verde menta","Purpura","Salmon")</f>
        <v>Amarillo</v>
      </c>
      <c r="E31" s="3" t="n">
        <v>6</v>
      </c>
      <c r="F31" s="7" t="str">
        <f aca="false">IF(OR(CONTROL!$F$3=B31,G31&lt;&gt;"Tierra"),E31,"???")</f>
        <v>???</v>
      </c>
      <c r="G31" s="3" t="s">
        <v>212</v>
      </c>
      <c r="H31" s="3" t="n">
        <v>6</v>
      </c>
      <c r="I31" s="3" t="n">
        <v>8</v>
      </c>
    </row>
    <row r="32" customFormat="false" ht="15" hidden="false" customHeight="false" outlineLevel="0" collapsed="false">
      <c r="A32" s="24" t="n">
        <v>31</v>
      </c>
      <c r="B32" s="3" t="n">
        <v>4</v>
      </c>
      <c r="C32" s="24" t="n">
        <v>1</v>
      </c>
      <c r="D32" s="10" t="str">
        <f aca="false">CHOOSE(B32,"Rojo","Turquesa","Amarillo","Verde menta","Purpura","Salmon")</f>
        <v>Verde menta</v>
      </c>
      <c r="E32" s="3" t="n">
        <v>1</v>
      </c>
      <c r="F32" s="7" t="str">
        <f aca="false">IF(OR(CONTROL!$F$3=B32,G32&lt;&gt;"Tierra"),E32,"???")</f>
        <v>???</v>
      </c>
      <c r="G32" s="3" t="s">
        <v>212</v>
      </c>
      <c r="H32" s="3" t="n">
        <v>6</v>
      </c>
      <c r="I32" s="3" t="n">
        <v>9</v>
      </c>
    </row>
    <row r="33" customFormat="false" ht="15" hidden="false" customHeight="false" outlineLevel="0" collapsed="false">
      <c r="A33" s="24" t="n">
        <v>32</v>
      </c>
      <c r="B33" s="3" t="n">
        <v>4</v>
      </c>
      <c r="C33" s="24" t="n">
        <v>2</v>
      </c>
      <c r="D33" s="10" t="str">
        <f aca="false">CHOOSE(B33,"Rojo","Turquesa","Amarillo","Verde menta","Purpura","Salmon")</f>
        <v>Verde menta</v>
      </c>
      <c r="E33" s="3" t="n">
        <v>1</v>
      </c>
      <c r="F33" s="7" t="str">
        <f aca="false">IF(OR(CONTROL!$F$3=B33,G33&lt;&gt;"Tierra"),E33,"???")</f>
        <v>???</v>
      </c>
      <c r="G33" s="3" t="s">
        <v>212</v>
      </c>
      <c r="H33" s="3" t="n">
        <v>6</v>
      </c>
      <c r="I33" s="3" t="n">
        <v>10</v>
      </c>
    </row>
    <row r="34" customFormat="false" ht="15" hidden="false" customHeight="false" outlineLevel="0" collapsed="false">
      <c r="A34" s="24" t="n">
        <v>33</v>
      </c>
      <c r="B34" s="3" t="n">
        <v>4</v>
      </c>
      <c r="C34" s="24" t="n">
        <v>3</v>
      </c>
      <c r="D34" s="10" t="str">
        <f aca="false">CHOOSE(B34,"Rojo","Turquesa","Amarillo","Verde menta","Purpura","Salmon")</f>
        <v>Verde menta</v>
      </c>
      <c r="E34" s="3" t="n">
        <v>1</v>
      </c>
      <c r="F34" s="7" t="str">
        <f aca="false">IF(OR(CONTROL!$F$3=B34,G34&lt;&gt;"Tierra"),E34,"???")</f>
        <v>???</v>
      </c>
      <c r="G34" s="3" t="s">
        <v>212</v>
      </c>
      <c r="H34" s="3" t="n">
        <v>7</v>
      </c>
      <c r="I34" s="3" t="n">
        <v>3</v>
      </c>
    </row>
    <row r="35" customFormat="false" ht="15" hidden="false" customHeight="false" outlineLevel="0" collapsed="false">
      <c r="A35" s="24" t="n">
        <v>34</v>
      </c>
      <c r="B35" s="3" t="n">
        <v>4</v>
      </c>
      <c r="C35" s="24" t="n">
        <v>4</v>
      </c>
      <c r="D35" s="10" t="str">
        <f aca="false">CHOOSE(B35,"Rojo","Turquesa","Amarillo","Verde menta","Purpura","Salmon")</f>
        <v>Verde menta</v>
      </c>
      <c r="E35" s="3" t="n">
        <v>2</v>
      </c>
      <c r="F35" s="7" t="str">
        <f aca="false">IF(OR(CONTROL!$F$3=B35,G35&lt;&gt;"Tierra"),E35,"???")</f>
        <v>???</v>
      </c>
      <c r="G35" s="3" t="s">
        <v>212</v>
      </c>
      <c r="H35" s="3" t="n">
        <v>7</v>
      </c>
      <c r="I35" s="3" t="n">
        <v>4</v>
      </c>
    </row>
    <row r="36" customFormat="false" ht="15" hidden="false" customHeight="false" outlineLevel="0" collapsed="false">
      <c r="A36" s="24" t="n">
        <v>35</v>
      </c>
      <c r="B36" s="3" t="n">
        <v>4</v>
      </c>
      <c r="C36" s="24" t="n">
        <v>5</v>
      </c>
      <c r="D36" s="10" t="str">
        <f aca="false">CHOOSE(B36,"Rojo","Turquesa","Amarillo","Verde menta","Purpura","Salmon")</f>
        <v>Verde menta</v>
      </c>
      <c r="E36" s="3" t="n">
        <v>2</v>
      </c>
      <c r="F36" s="7" t="str">
        <f aca="false">IF(OR(CONTROL!$F$3=B36,G36&lt;&gt;"Tierra"),E36,"???")</f>
        <v>???</v>
      </c>
      <c r="G36" s="3" t="s">
        <v>212</v>
      </c>
      <c r="H36" s="3" t="n">
        <v>7</v>
      </c>
      <c r="I36" s="3" t="n">
        <v>5</v>
      </c>
    </row>
    <row r="37" customFormat="false" ht="15" hidden="false" customHeight="false" outlineLevel="0" collapsed="false">
      <c r="A37" s="24" t="n">
        <v>36</v>
      </c>
      <c r="B37" s="3" t="n">
        <v>4</v>
      </c>
      <c r="C37" s="24" t="n">
        <v>6</v>
      </c>
      <c r="D37" s="10" t="str">
        <f aca="false">CHOOSE(B37,"Rojo","Turquesa","Amarillo","Verde menta","Purpura","Salmon")</f>
        <v>Verde menta</v>
      </c>
      <c r="E37" s="3" t="n">
        <v>3</v>
      </c>
      <c r="F37" s="7" t="str">
        <f aca="false">IF(OR(CONTROL!$F$3=B37,G37&lt;&gt;"Tierra"),E37,"???")</f>
        <v>???</v>
      </c>
      <c r="G37" s="3" t="s">
        <v>212</v>
      </c>
      <c r="H37" s="3" t="n">
        <v>7</v>
      </c>
      <c r="I37" s="3" t="n">
        <v>6</v>
      </c>
    </row>
    <row r="38" customFormat="false" ht="15" hidden="false" customHeight="false" outlineLevel="0" collapsed="false">
      <c r="A38" s="24" t="n">
        <v>37</v>
      </c>
      <c r="B38" s="3" t="n">
        <v>4</v>
      </c>
      <c r="C38" s="24" t="n">
        <v>7</v>
      </c>
      <c r="D38" s="10" t="str">
        <f aca="false">CHOOSE(B38,"Rojo","Turquesa","Amarillo","Verde menta","Purpura","Salmon")</f>
        <v>Verde menta</v>
      </c>
      <c r="E38" s="3" t="n">
        <v>3</v>
      </c>
      <c r="F38" s="7" t="str">
        <f aca="false">IF(OR(CONTROL!$F$3=B38,G38&lt;&gt;"Tierra"),E38,"???")</f>
        <v>???</v>
      </c>
      <c r="G38" s="3" t="s">
        <v>212</v>
      </c>
      <c r="H38" s="3" t="n">
        <v>7</v>
      </c>
      <c r="I38" s="3" t="n">
        <v>7</v>
      </c>
    </row>
    <row r="39" customFormat="false" ht="15" hidden="false" customHeight="false" outlineLevel="0" collapsed="false">
      <c r="A39" s="24" t="n">
        <v>38</v>
      </c>
      <c r="B39" s="3" t="n">
        <v>4</v>
      </c>
      <c r="C39" s="24" t="n">
        <v>8</v>
      </c>
      <c r="D39" s="10" t="str">
        <f aca="false">CHOOSE(B39,"Rojo","Turquesa","Amarillo","Verde menta","Purpura","Salmon")</f>
        <v>Verde menta</v>
      </c>
      <c r="E39" s="3" t="n">
        <v>4</v>
      </c>
      <c r="F39" s="7" t="str">
        <f aca="false">IF(OR(CONTROL!$F$3=B39,G39&lt;&gt;"Tierra"),E39,"???")</f>
        <v>???</v>
      </c>
      <c r="G39" s="3" t="s">
        <v>212</v>
      </c>
      <c r="H39" s="3" t="n">
        <v>7</v>
      </c>
      <c r="I39" s="3" t="n">
        <v>8</v>
      </c>
    </row>
    <row r="40" customFormat="false" ht="15" hidden="false" customHeight="false" outlineLevel="0" collapsed="false">
      <c r="A40" s="24" t="n">
        <v>39</v>
      </c>
      <c r="B40" s="3" t="n">
        <v>4</v>
      </c>
      <c r="C40" s="24" t="n">
        <v>9</v>
      </c>
      <c r="D40" s="10" t="str">
        <f aca="false">CHOOSE(B40,"Rojo","Turquesa","Amarillo","Verde menta","Purpura","Salmon")</f>
        <v>Verde menta</v>
      </c>
      <c r="E40" s="3" t="n">
        <v>5</v>
      </c>
      <c r="F40" s="7" t="str">
        <f aca="false">IF(OR(CONTROL!$F$3=B40,G40&lt;&gt;"Tierra"),E40,"???")</f>
        <v>???</v>
      </c>
      <c r="G40" s="3" t="s">
        <v>212</v>
      </c>
      <c r="H40" s="3" t="n">
        <v>7</v>
      </c>
      <c r="I40" s="3" t="n">
        <v>9</v>
      </c>
    </row>
    <row r="41" customFormat="false" ht="15" hidden="false" customHeight="false" outlineLevel="0" collapsed="false">
      <c r="A41" s="24" t="n">
        <v>40</v>
      </c>
      <c r="B41" s="3" t="n">
        <v>4</v>
      </c>
      <c r="C41" s="24" t="n">
        <v>10</v>
      </c>
      <c r="D41" s="10" t="str">
        <f aca="false">CHOOSE(B41,"Rojo","Turquesa","Amarillo","Verde menta","Purpura","Salmon")</f>
        <v>Verde menta</v>
      </c>
      <c r="E41" s="3" t="n">
        <v>6</v>
      </c>
      <c r="F41" s="7" t="str">
        <f aca="false">IF(OR(CONTROL!$F$3=B41,G41&lt;&gt;"Tierra"),E41,"???")</f>
        <v>???</v>
      </c>
      <c r="G41" s="3" t="s">
        <v>212</v>
      </c>
      <c r="H41" s="3" t="n">
        <v>7</v>
      </c>
      <c r="I41" s="3" t="n">
        <v>10</v>
      </c>
    </row>
    <row r="42" customFormat="false" ht="15" hidden="false" customHeight="false" outlineLevel="0" collapsed="false">
      <c r="A42" s="24" t="n">
        <v>41</v>
      </c>
      <c r="B42" s="3" t="n">
        <v>5</v>
      </c>
      <c r="C42" s="24" t="n">
        <v>1</v>
      </c>
      <c r="D42" s="10" t="str">
        <f aca="false">CHOOSE(B42,"Rojo","Turquesa","Amarillo","Verde menta","Purpura","Salmon")</f>
        <v>Purpura</v>
      </c>
      <c r="E42" s="3" t="n">
        <v>1</v>
      </c>
      <c r="F42" s="7" t="str">
        <f aca="false">IF(OR(CONTROL!$F$3=B42,G42&lt;&gt;"Tierra"),E42,"???")</f>
        <v>???</v>
      </c>
      <c r="G42" s="3" t="s">
        <v>212</v>
      </c>
      <c r="H42" s="3" t="n">
        <v>3</v>
      </c>
      <c r="I42" s="3" t="n">
        <v>3</v>
      </c>
    </row>
    <row r="43" customFormat="false" ht="15" hidden="false" customHeight="false" outlineLevel="0" collapsed="false">
      <c r="A43" s="24" t="n">
        <v>42</v>
      </c>
      <c r="B43" s="3" t="n">
        <v>5</v>
      </c>
      <c r="C43" s="24" t="n">
        <v>2</v>
      </c>
      <c r="D43" s="10" t="str">
        <f aca="false">CHOOSE(B43,"Rojo","Turquesa","Amarillo","Verde menta","Purpura","Salmon")</f>
        <v>Purpura</v>
      </c>
      <c r="E43" s="3" t="n">
        <v>1</v>
      </c>
      <c r="F43" s="7" t="str">
        <f aca="false">IF(OR(CONTROL!$F$3=B43,G43&lt;&gt;"Tierra"),E43,"???")</f>
        <v>???</v>
      </c>
      <c r="G43" s="3" t="s">
        <v>212</v>
      </c>
      <c r="H43" s="3" t="n">
        <v>3</v>
      </c>
      <c r="I43" s="3" t="n">
        <v>4</v>
      </c>
    </row>
    <row r="44" customFormat="false" ht="15" hidden="false" customHeight="false" outlineLevel="0" collapsed="false">
      <c r="A44" s="24" t="n">
        <v>43</v>
      </c>
      <c r="B44" s="3" t="n">
        <v>5</v>
      </c>
      <c r="C44" s="24" t="n">
        <v>3</v>
      </c>
      <c r="D44" s="10" t="str">
        <f aca="false">CHOOSE(B44,"Rojo","Turquesa","Amarillo","Verde menta","Purpura","Salmon")</f>
        <v>Purpura</v>
      </c>
      <c r="E44" s="3" t="n">
        <v>1</v>
      </c>
      <c r="F44" s="7" t="str">
        <f aca="false">IF(OR(CONTROL!$F$3=B44,G44&lt;&gt;"Tierra"),E44,"???")</f>
        <v>???</v>
      </c>
      <c r="G44" s="3" t="s">
        <v>212</v>
      </c>
      <c r="H44" s="3" t="n">
        <v>3</v>
      </c>
      <c r="I44" s="3" t="n">
        <v>5</v>
      </c>
    </row>
    <row r="45" customFormat="false" ht="15" hidden="false" customHeight="false" outlineLevel="0" collapsed="false">
      <c r="A45" s="24" t="n">
        <v>44</v>
      </c>
      <c r="B45" s="3" t="n">
        <v>5</v>
      </c>
      <c r="C45" s="24" t="n">
        <v>4</v>
      </c>
      <c r="D45" s="10" t="str">
        <f aca="false">CHOOSE(B45,"Rojo","Turquesa","Amarillo","Verde menta","Purpura","Salmon")</f>
        <v>Purpura</v>
      </c>
      <c r="E45" s="3" t="n">
        <v>2</v>
      </c>
      <c r="F45" s="7" t="str">
        <f aca="false">IF(OR(CONTROL!$F$3=B45,G45&lt;&gt;"Tierra"),E45,"???")</f>
        <v>???</v>
      </c>
      <c r="G45" s="3" t="s">
        <v>212</v>
      </c>
      <c r="H45" s="3" t="n">
        <v>3</v>
      </c>
      <c r="I45" s="3" t="n">
        <v>6</v>
      </c>
    </row>
    <row r="46" customFormat="false" ht="15" hidden="false" customHeight="false" outlineLevel="0" collapsed="false">
      <c r="A46" s="24" t="n">
        <v>45</v>
      </c>
      <c r="B46" s="3" t="n">
        <v>5</v>
      </c>
      <c r="C46" s="24" t="n">
        <v>5</v>
      </c>
      <c r="D46" s="10" t="str">
        <f aca="false">CHOOSE(B46,"Rojo","Turquesa","Amarillo","Verde menta","Purpura","Salmon")</f>
        <v>Purpura</v>
      </c>
      <c r="E46" s="3" t="n">
        <v>2</v>
      </c>
      <c r="F46" s="7" t="str">
        <f aca="false">IF(OR(CONTROL!$F$3=B46,G46&lt;&gt;"Tierra"),E46,"???")</f>
        <v>???</v>
      </c>
      <c r="G46" s="3" t="s">
        <v>212</v>
      </c>
      <c r="H46" s="3" t="n">
        <v>3</v>
      </c>
      <c r="I46" s="3" t="n">
        <v>7</v>
      </c>
    </row>
    <row r="47" customFormat="false" ht="15" hidden="false" customHeight="false" outlineLevel="0" collapsed="false">
      <c r="A47" s="24" t="n">
        <v>46</v>
      </c>
      <c r="B47" s="3" t="n">
        <v>5</v>
      </c>
      <c r="C47" s="24" t="n">
        <v>6</v>
      </c>
      <c r="D47" s="10" t="str">
        <f aca="false">CHOOSE(B47,"Rojo","Turquesa","Amarillo","Verde menta","Purpura","Salmon")</f>
        <v>Purpura</v>
      </c>
      <c r="E47" s="3" t="n">
        <v>3</v>
      </c>
      <c r="F47" s="7" t="str">
        <f aca="false">IF(OR(CONTROL!$F$3=B47,G47&lt;&gt;"Tierra"),E47,"???")</f>
        <v>???</v>
      </c>
      <c r="G47" s="3" t="s">
        <v>212</v>
      </c>
      <c r="H47" s="3" t="n">
        <v>3</v>
      </c>
      <c r="I47" s="3" t="n">
        <v>8</v>
      </c>
    </row>
    <row r="48" customFormat="false" ht="15" hidden="false" customHeight="false" outlineLevel="0" collapsed="false">
      <c r="A48" s="24" t="n">
        <v>47</v>
      </c>
      <c r="B48" s="3" t="n">
        <v>5</v>
      </c>
      <c r="C48" s="24" t="n">
        <v>7</v>
      </c>
      <c r="D48" s="10" t="str">
        <f aca="false">CHOOSE(B48,"Rojo","Turquesa","Amarillo","Verde menta","Purpura","Salmon")</f>
        <v>Purpura</v>
      </c>
      <c r="E48" s="3" t="n">
        <v>3</v>
      </c>
      <c r="F48" s="7" t="str">
        <f aca="false">IF(OR(CONTROL!$F$3=B48,G48&lt;&gt;"Tierra"),E48,"???")</f>
        <v>???</v>
      </c>
      <c r="G48" s="3" t="s">
        <v>212</v>
      </c>
      <c r="H48" s="3" t="n">
        <v>3</v>
      </c>
      <c r="I48" s="3" t="n">
        <v>9</v>
      </c>
    </row>
    <row r="49" customFormat="false" ht="15" hidden="false" customHeight="false" outlineLevel="0" collapsed="false">
      <c r="A49" s="24" t="n">
        <v>48</v>
      </c>
      <c r="B49" s="3" t="n">
        <v>5</v>
      </c>
      <c r="C49" s="24" t="n">
        <v>8</v>
      </c>
      <c r="D49" s="10" t="str">
        <f aca="false">CHOOSE(B49,"Rojo","Turquesa","Amarillo","Verde menta","Purpura","Salmon")</f>
        <v>Purpura</v>
      </c>
      <c r="E49" s="3" t="n">
        <v>4</v>
      </c>
      <c r="F49" s="7" t="str">
        <f aca="false">IF(OR(CONTROL!$F$3=B49,G49&lt;&gt;"Tierra"),E49,"???")</f>
        <v>???</v>
      </c>
      <c r="G49" s="3" t="s">
        <v>212</v>
      </c>
      <c r="H49" s="3" t="n">
        <v>3</v>
      </c>
      <c r="I49" s="3" t="n">
        <v>10</v>
      </c>
    </row>
    <row r="50" customFormat="false" ht="15" hidden="false" customHeight="false" outlineLevel="0" collapsed="false">
      <c r="A50" s="24" t="n">
        <v>49</v>
      </c>
      <c r="B50" s="3" t="n">
        <v>5</v>
      </c>
      <c r="C50" s="24" t="n">
        <v>9</v>
      </c>
      <c r="D50" s="10" t="str">
        <f aca="false">CHOOSE(B50,"Rojo","Turquesa","Amarillo","Verde menta","Purpura","Salmon")</f>
        <v>Purpura</v>
      </c>
      <c r="E50" s="3" t="n">
        <v>5</v>
      </c>
      <c r="F50" s="7" t="str">
        <f aca="false">IF(OR(CONTROL!$F$3=B50,G50&lt;&gt;"Tierra"),E50,"???")</f>
        <v>???</v>
      </c>
      <c r="G50" s="3" t="s">
        <v>212</v>
      </c>
      <c r="H50" s="3" t="n">
        <v>4</v>
      </c>
      <c r="I50" s="3" t="n">
        <v>3</v>
      </c>
    </row>
    <row r="51" customFormat="false" ht="15" hidden="false" customHeight="false" outlineLevel="0" collapsed="false">
      <c r="A51" s="24" t="n">
        <v>50</v>
      </c>
      <c r="B51" s="3" t="n">
        <v>5</v>
      </c>
      <c r="C51" s="24" t="n">
        <v>10</v>
      </c>
      <c r="D51" s="10" t="str">
        <f aca="false">CHOOSE(B51,"Rojo","Turquesa","Amarillo","Verde menta","Purpura","Salmon")</f>
        <v>Purpura</v>
      </c>
      <c r="E51" s="3" t="n">
        <v>6</v>
      </c>
      <c r="F51" s="7" t="str">
        <f aca="false">IF(OR(CONTROL!$F$3=B51,G51&lt;&gt;"Tierra"),E51,"???")</f>
        <v>???</v>
      </c>
      <c r="G51" s="3" t="s">
        <v>212</v>
      </c>
      <c r="H51" s="3" t="n">
        <v>4</v>
      </c>
      <c r="I51" s="3" t="n">
        <v>4</v>
      </c>
    </row>
    <row r="52" customFormat="false" ht="15" hidden="false" customHeight="false" outlineLevel="0" collapsed="false">
      <c r="A52" s="24" t="n">
        <v>51</v>
      </c>
      <c r="B52" s="3" t="n">
        <v>6</v>
      </c>
      <c r="C52" s="24" t="n">
        <v>1</v>
      </c>
      <c r="D52" s="10" t="str">
        <f aca="false">CHOOSE(B52,"Rojo","Turquesa","Amarillo","Verde menta","Purpura","Salmon")</f>
        <v>Salmon</v>
      </c>
      <c r="E52" s="3" t="n">
        <v>1</v>
      </c>
      <c r="F52" s="7" t="str">
        <f aca="false">IF(OR(CONTROL!$F$3=B52,G52&lt;&gt;"Tierra"),E52,"???")</f>
        <v>???</v>
      </c>
      <c r="G52" s="3" t="s">
        <v>212</v>
      </c>
      <c r="H52" s="3" t="n">
        <v>4</v>
      </c>
      <c r="I52" s="3" t="n">
        <v>5</v>
      </c>
    </row>
    <row r="53" customFormat="false" ht="15" hidden="false" customHeight="false" outlineLevel="0" collapsed="false">
      <c r="A53" s="24" t="n">
        <v>52</v>
      </c>
      <c r="B53" s="3" t="n">
        <v>6</v>
      </c>
      <c r="C53" s="24" t="n">
        <v>2</v>
      </c>
      <c r="D53" s="10" t="str">
        <f aca="false">CHOOSE(B53,"Rojo","Turquesa","Amarillo","Verde menta","Purpura","Salmon")</f>
        <v>Salmon</v>
      </c>
      <c r="E53" s="3" t="n">
        <v>1</v>
      </c>
      <c r="F53" s="7" t="str">
        <f aca="false">IF(OR(CONTROL!$F$3=B53,G53&lt;&gt;"Tierra"),E53,"???")</f>
        <v>???</v>
      </c>
      <c r="G53" s="3" t="s">
        <v>212</v>
      </c>
      <c r="H53" s="3" t="n">
        <v>4</v>
      </c>
      <c r="I53" s="3" t="n">
        <v>6</v>
      </c>
    </row>
    <row r="54" customFormat="false" ht="15" hidden="false" customHeight="false" outlineLevel="0" collapsed="false">
      <c r="A54" s="24" t="n">
        <v>53</v>
      </c>
      <c r="B54" s="3" t="n">
        <v>6</v>
      </c>
      <c r="C54" s="24" t="n">
        <v>3</v>
      </c>
      <c r="D54" s="10" t="str">
        <f aca="false">CHOOSE(B54,"Rojo","Turquesa","Amarillo","Verde menta","Purpura","Salmon")</f>
        <v>Salmon</v>
      </c>
      <c r="E54" s="3" t="n">
        <v>1</v>
      </c>
      <c r="F54" s="7" t="str">
        <f aca="false">IF(OR(CONTROL!$F$3=B54,G54&lt;&gt;"Tierra"),E54,"???")</f>
        <v>???</v>
      </c>
      <c r="G54" s="3" t="s">
        <v>212</v>
      </c>
      <c r="H54" s="3" t="n">
        <v>4</v>
      </c>
      <c r="I54" s="3" t="n">
        <v>7</v>
      </c>
    </row>
    <row r="55" customFormat="false" ht="15" hidden="false" customHeight="false" outlineLevel="0" collapsed="false">
      <c r="A55" s="24" t="n">
        <v>54</v>
      </c>
      <c r="B55" s="3" t="n">
        <v>6</v>
      </c>
      <c r="C55" s="24" t="n">
        <v>4</v>
      </c>
      <c r="D55" s="10" t="str">
        <f aca="false">CHOOSE(B55,"Rojo","Turquesa","Amarillo","Verde menta","Purpura","Salmon")</f>
        <v>Salmon</v>
      </c>
      <c r="E55" s="3" t="n">
        <v>2</v>
      </c>
      <c r="F55" s="7" t="str">
        <f aca="false">IF(OR(CONTROL!$F$3=B55,G55&lt;&gt;"Tierra"),E55,"???")</f>
        <v>???</v>
      </c>
      <c r="G55" s="3" t="s">
        <v>212</v>
      </c>
      <c r="H55" s="3" t="n">
        <v>4</v>
      </c>
      <c r="I55" s="3" t="n">
        <v>8</v>
      </c>
    </row>
    <row r="56" customFormat="false" ht="15" hidden="false" customHeight="false" outlineLevel="0" collapsed="false">
      <c r="A56" s="24" t="n">
        <v>55</v>
      </c>
      <c r="B56" s="3" t="n">
        <v>6</v>
      </c>
      <c r="C56" s="24" t="n">
        <v>5</v>
      </c>
      <c r="D56" s="10" t="str">
        <f aca="false">CHOOSE(B56,"Rojo","Turquesa","Amarillo","Verde menta","Purpura","Salmon")</f>
        <v>Salmon</v>
      </c>
      <c r="E56" s="3" t="n">
        <v>2</v>
      </c>
      <c r="F56" s="7" t="str">
        <f aca="false">IF(OR(CONTROL!$F$3=B56,G56&lt;&gt;"Tierra"),E56,"???")</f>
        <v>???</v>
      </c>
      <c r="G56" s="3" t="s">
        <v>212</v>
      </c>
      <c r="H56" s="3" t="n">
        <v>4</v>
      </c>
      <c r="I56" s="3" t="n">
        <v>9</v>
      </c>
    </row>
    <row r="57" customFormat="false" ht="15" hidden="false" customHeight="false" outlineLevel="0" collapsed="false">
      <c r="A57" s="24" t="n">
        <v>56</v>
      </c>
      <c r="B57" s="3" t="n">
        <v>6</v>
      </c>
      <c r="C57" s="24" t="n">
        <v>6</v>
      </c>
      <c r="D57" s="10" t="str">
        <f aca="false">CHOOSE(B57,"Rojo","Turquesa","Amarillo","Verde menta","Purpura","Salmon")</f>
        <v>Salmon</v>
      </c>
      <c r="E57" s="3" t="n">
        <v>3</v>
      </c>
      <c r="F57" s="7" t="str">
        <f aca="false">IF(OR(CONTROL!$F$3=B57,G57&lt;&gt;"Tierra"),E57,"???")</f>
        <v>???</v>
      </c>
      <c r="G57" s="3" t="s">
        <v>212</v>
      </c>
      <c r="H57" s="3" t="n">
        <v>4</v>
      </c>
      <c r="I57" s="3" t="n">
        <v>10</v>
      </c>
    </row>
    <row r="58" customFormat="false" ht="15" hidden="false" customHeight="false" outlineLevel="0" collapsed="false">
      <c r="A58" s="24" t="n">
        <v>57</v>
      </c>
      <c r="B58" s="3" t="n">
        <v>6</v>
      </c>
      <c r="C58" s="24" t="n">
        <v>7</v>
      </c>
      <c r="D58" s="10" t="str">
        <f aca="false">CHOOSE(B58,"Rojo","Turquesa","Amarillo","Verde menta","Purpura","Salmon")</f>
        <v>Salmon</v>
      </c>
      <c r="E58" s="3" t="n">
        <v>3</v>
      </c>
      <c r="F58" s="7" t="str">
        <f aca="false">IF(OR(CONTROL!$F$3=B58,G58&lt;&gt;"Tierra"),E58,"???")</f>
        <v>???</v>
      </c>
      <c r="G58" s="3" t="s">
        <v>212</v>
      </c>
      <c r="H58" s="3" t="n">
        <v>5</v>
      </c>
      <c r="I58" s="3" t="n">
        <v>3</v>
      </c>
    </row>
    <row r="59" customFormat="false" ht="15" hidden="false" customHeight="false" outlineLevel="0" collapsed="false">
      <c r="A59" s="24" t="n">
        <v>58</v>
      </c>
      <c r="B59" s="3" t="n">
        <v>6</v>
      </c>
      <c r="C59" s="24" t="n">
        <v>8</v>
      </c>
      <c r="D59" s="10" t="str">
        <f aca="false">CHOOSE(B59,"Rojo","Turquesa","Amarillo","Verde menta","Purpura","Salmon")</f>
        <v>Salmon</v>
      </c>
      <c r="E59" s="3" t="n">
        <v>4</v>
      </c>
      <c r="F59" s="7" t="str">
        <f aca="false">IF(OR(CONTROL!$F$3=B59,G59&lt;&gt;"Tierra"),E59,"???")</f>
        <v>???</v>
      </c>
      <c r="G59" s="3" t="s">
        <v>212</v>
      </c>
      <c r="H59" s="3" t="n">
        <v>5</v>
      </c>
      <c r="I59" s="3" t="n">
        <v>4</v>
      </c>
    </row>
    <row r="60" customFormat="false" ht="15" hidden="false" customHeight="false" outlineLevel="0" collapsed="false">
      <c r="A60" s="24" t="n">
        <v>59</v>
      </c>
      <c r="B60" s="3" t="n">
        <v>6</v>
      </c>
      <c r="C60" s="24" t="n">
        <v>9</v>
      </c>
      <c r="D60" s="10" t="str">
        <f aca="false">CHOOSE(B60,"Rojo","Turquesa","Amarillo","Verde menta","Purpura","Salmon")</f>
        <v>Salmon</v>
      </c>
      <c r="E60" s="3" t="n">
        <v>5</v>
      </c>
      <c r="F60" s="7" t="str">
        <f aca="false">IF(OR(CONTROL!$F$3=B60,G60&lt;&gt;"Tierra"),E60,"???")</f>
        <v>???</v>
      </c>
      <c r="G60" s="3" t="s">
        <v>212</v>
      </c>
      <c r="H60" s="3" t="n">
        <v>5</v>
      </c>
      <c r="I60" s="3" t="n">
        <v>5</v>
      </c>
    </row>
    <row r="61" customFormat="false" ht="15" hidden="false" customHeight="false" outlineLevel="0" collapsed="false">
      <c r="A61" s="24" t="n">
        <v>60</v>
      </c>
      <c r="B61" s="3" t="n">
        <v>6</v>
      </c>
      <c r="C61" s="24" t="n">
        <v>10</v>
      </c>
      <c r="D61" s="10" t="str">
        <f aca="false">CHOOSE(B61,"Rojo","Turquesa","Amarillo","Verde menta","Purpura","Salmon")</f>
        <v>Salmon</v>
      </c>
      <c r="E61" s="3" t="n">
        <v>6</v>
      </c>
      <c r="F61" s="7" t="str">
        <f aca="false">IF(OR(CONTROL!$F$3=B61,G61&lt;&gt;"Tierra"),E61,"???")</f>
        <v>???</v>
      </c>
      <c r="G61" s="3" t="s">
        <v>212</v>
      </c>
      <c r="H61" s="3" t="n">
        <v>5</v>
      </c>
      <c r="I61" s="3" t="n">
        <v>6</v>
      </c>
    </row>
  </sheetData>
  <mergeCells count="1">
    <mergeCell ref="A1:I1"/>
  </mergeCells>
  <conditionalFormatting sqref="G2:G61">
    <cfRule type="cellIs" priority="2" operator="equal" aboveAverage="0" equalAverage="0" bottom="0" percent="0" rank="0" text="" dxfId="10">
      <formula>"Eliminado"</formula>
    </cfRule>
    <cfRule type="cellIs" priority="3" operator="equal" aboveAverage="0" equalAverage="0" bottom="0" percent="0" rank="0" text="" dxfId="2">
      <formula>"Salvado"</formula>
    </cfRule>
    <cfRule type="cellIs" priority="4" operator="equal" aboveAverage="0" equalAverage="0" bottom="0" percent="0" rank="0" text="" dxfId="1">
      <formula>"Tierra"</formula>
    </cfRule>
    <cfRule type="cellIs" priority="5" operator="equal" aboveAverage="0" equalAverage="0" bottom="0" percent="0" rank="0" text="" dxfId="0">
      <formula>"Mar"</formula>
    </cfRule>
    <cfRule type="cellIs" priority="6" operator="equal" aboveAverage="0" equalAverage="0" bottom="0" percent="0" rank="0" text="" dxfId="14">
      <formula>"Barco"</formula>
    </cfRule>
  </conditionalFormatting>
  <dataValidations count="3">
    <dataValidation allowBlank="false" errorStyle="stop" operator="between" showDropDown="false" showErrorMessage="false" showInputMessage="false" sqref="G2:G61" type="list">
      <formula1>"Tierra,Mar,Barco,Salvado,Eliminado"</formula1>
      <formula2>0</formula2>
    </dataValidation>
    <dataValidation allowBlank="false" errorStyle="stop" operator="between" showDropDown="false" showErrorMessage="false" showInputMessage="false" sqref="B2:B61" type="whole">
      <formula1>1</formula1>
      <formula2>6</formula2>
    </dataValidation>
    <dataValidation allowBlank="false" errorStyle="stop" operator="between" showDropDown="false" showErrorMessage="false" showInputMessage="false" sqref="E2:E61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5" t="s">
        <v>193</v>
      </c>
      <c r="B2" s="5" t="s">
        <v>194</v>
      </c>
      <c r="C2" s="5" t="s">
        <v>79</v>
      </c>
      <c r="D2" s="5" t="s">
        <v>214</v>
      </c>
      <c r="E2" s="5" t="s">
        <v>215</v>
      </c>
      <c r="F2" s="5" t="s">
        <v>216</v>
      </c>
      <c r="G2" s="5" t="s">
        <v>105</v>
      </c>
    </row>
    <row r="3" customFormat="false" ht="15" hidden="false" customHeight="false" outlineLevel="0" collapsed="false">
      <c r="A3" s="24" t="n">
        <v>1</v>
      </c>
      <c r="B3" s="24" t="s">
        <v>67</v>
      </c>
      <c r="C3" s="3" t="s">
        <v>217</v>
      </c>
      <c r="D3" s="3" t="n">
        <v>1</v>
      </c>
      <c r="E3" s="3" t="n">
        <v>2</v>
      </c>
      <c r="F3" s="3"/>
      <c r="G3" s="26" t="s">
        <v>218</v>
      </c>
    </row>
    <row r="4" customFormat="false" ht="15" hidden="false" customHeight="false" outlineLevel="0" collapsed="false">
      <c r="A4" s="24" t="n">
        <v>2</v>
      </c>
      <c r="B4" s="24" t="s">
        <v>67</v>
      </c>
      <c r="C4" s="3" t="s">
        <v>217</v>
      </c>
      <c r="D4" s="3" t="n">
        <v>1</v>
      </c>
      <c r="E4" s="3" t="n">
        <v>9</v>
      </c>
      <c r="F4" s="3"/>
      <c r="G4" s="26" t="s">
        <v>218</v>
      </c>
    </row>
    <row r="5" customFormat="false" ht="15" hidden="false" customHeight="false" outlineLevel="0" collapsed="false">
      <c r="A5" s="24" t="n">
        <v>3</v>
      </c>
      <c r="B5" s="24" t="s">
        <v>67</v>
      </c>
      <c r="C5" s="3" t="s">
        <v>217</v>
      </c>
      <c r="D5" s="3" t="n">
        <v>4</v>
      </c>
      <c r="E5" s="3" t="n">
        <v>1</v>
      </c>
      <c r="F5" s="3"/>
      <c r="G5" s="26" t="s">
        <v>218</v>
      </c>
    </row>
    <row r="6" customFormat="false" ht="15" hidden="false" customHeight="false" outlineLevel="0" collapsed="false">
      <c r="A6" s="24" t="n">
        <v>4</v>
      </c>
      <c r="B6" s="24" t="s">
        <v>67</v>
      </c>
      <c r="C6" s="3" t="s">
        <v>217</v>
      </c>
      <c r="D6" s="3" t="n">
        <v>7</v>
      </c>
      <c r="E6" s="3" t="n">
        <v>2</v>
      </c>
      <c r="F6" s="3"/>
      <c r="G6" s="26" t="s">
        <v>218</v>
      </c>
    </row>
    <row r="7" customFormat="false" ht="15" hidden="false" customHeight="false" outlineLevel="0" collapsed="false">
      <c r="A7" s="24" t="n">
        <v>5</v>
      </c>
      <c r="B7" s="24" t="s">
        <v>67</v>
      </c>
      <c r="C7" s="3" t="s">
        <v>217</v>
      </c>
      <c r="D7" s="3" t="n">
        <v>7</v>
      </c>
      <c r="E7" s="3" t="n">
        <v>9</v>
      </c>
      <c r="F7" s="3"/>
      <c r="G7" s="26" t="s">
        <v>218</v>
      </c>
    </row>
    <row r="8" customFormat="false" ht="15" hidden="false" customHeight="false" outlineLevel="0" collapsed="false">
      <c r="A8" s="24" t="n">
        <v>6</v>
      </c>
      <c r="B8" s="24" t="s">
        <v>68</v>
      </c>
      <c r="C8" s="3" t="s">
        <v>219</v>
      </c>
      <c r="D8" s="3"/>
      <c r="E8" s="3"/>
      <c r="F8" s="3"/>
      <c r="G8" s="26" t="s">
        <v>131</v>
      </c>
    </row>
    <row r="9" customFormat="false" ht="15" hidden="false" customHeight="false" outlineLevel="0" collapsed="false">
      <c r="A9" s="24" t="n">
        <v>7</v>
      </c>
      <c r="B9" s="24" t="s">
        <v>68</v>
      </c>
      <c r="C9" s="3" t="s">
        <v>219</v>
      </c>
      <c r="D9" s="3"/>
      <c r="E9" s="3"/>
      <c r="F9" s="3"/>
      <c r="G9" s="26" t="s">
        <v>131</v>
      </c>
    </row>
    <row r="10" customFormat="false" ht="15" hidden="false" customHeight="false" outlineLevel="0" collapsed="false">
      <c r="A10" s="24" t="n">
        <v>8</v>
      </c>
      <c r="B10" s="24" t="s">
        <v>68</v>
      </c>
      <c r="C10" s="3" t="s">
        <v>219</v>
      </c>
      <c r="D10" s="3"/>
      <c r="E10" s="3"/>
      <c r="F10" s="3"/>
      <c r="G10" s="26" t="s">
        <v>131</v>
      </c>
    </row>
    <row r="11" customFormat="false" ht="15" hidden="false" customHeight="false" outlineLevel="0" collapsed="false">
      <c r="A11" s="24" t="n">
        <v>9</v>
      </c>
      <c r="B11" s="24" t="s">
        <v>68</v>
      </c>
      <c r="C11" s="3" t="s">
        <v>219</v>
      </c>
      <c r="D11" s="3"/>
      <c r="E11" s="3"/>
      <c r="F11" s="3"/>
      <c r="G11" s="26" t="s">
        <v>131</v>
      </c>
    </row>
    <row r="12" customFormat="false" ht="15" hidden="false" customHeight="false" outlineLevel="0" collapsed="false">
      <c r="A12" s="24" t="n">
        <v>10</v>
      </c>
      <c r="B12" s="24" t="s">
        <v>68</v>
      </c>
      <c r="C12" s="3" t="s">
        <v>219</v>
      </c>
      <c r="D12" s="3"/>
      <c r="E12" s="3"/>
      <c r="F12" s="3"/>
      <c r="G12" s="26" t="s">
        <v>131</v>
      </c>
    </row>
    <row r="13" customFormat="false" ht="15" hidden="false" customHeight="false" outlineLevel="0" collapsed="false">
      <c r="A13" s="24" t="n">
        <v>11</v>
      </c>
      <c r="B13" s="24" t="s">
        <v>69</v>
      </c>
      <c r="C13" s="3" t="s">
        <v>219</v>
      </c>
      <c r="D13" s="3"/>
      <c r="E13" s="3"/>
      <c r="F13" s="3"/>
      <c r="G13" s="26" t="s">
        <v>131</v>
      </c>
    </row>
    <row r="14" customFormat="false" ht="15" hidden="false" customHeight="false" outlineLevel="0" collapsed="false">
      <c r="A14" s="24" t="n">
        <v>12</v>
      </c>
      <c r="B14" s="24" t="s">
        <v>69</v>
      </c>
      <c r="C14" s="3" t="s">
        <v>219</v>
      </c>
      <c r="D14" s="3"/>
      <c r="E14" s="3"/>
      <c r="F14" s="3"/>
      <c r="G14" s="26" t="s">
        <v>131</v>
      </c>
    </row>
    <row r="15" customFormat="false" ht="15" hidden="false" customHeight="false" outlineLevel="0" collapsed="false">
      <c r="A15" s="24" t="n">
        <v>13</v>
      </c>
      <c r="B15" s="24" t="s">
        <v>69</v>
      </c>
      <c r="C15" s="3" t="s">
        <v>219</v>
      </c>
      <c r="D15" s="3"/>
      <c r="E15" s="3"/>
      <c r="F15" s="3"/>
      <c r="G15" s="26" t="s">
        <v>131</v>
      </c>
    </row>
    <row r="16" customFormat="false" ht="15" hidden="false" customHeight="false" outlineLevel="0" collapsed="false">
      <c r="A16" s="24" t="n">
        <v>14</v>
      </c>
      <c r="B16" s="24" t="s">
        <v>69</v>
      </c>
      <c r="C16" s="3" t="s">
        <v>219</v>
      </c>
      <c r="D16" s="3"/>
      <c r="E16" s="3"/>
      <c r="F16" s="3"/>
      <c r="G16" s="26" t="s">
        <v>131</v>
      </c>
    </row>
    <row r="17" customFormat="false" ht="15" hidden="false" customHeight="false" outlineLevel="0" collapsed="false">
      <c r="A17" s="24" t="n">
        <v>15</v>
      </c>
      <c r="B17" s="24" t="s">
        <v>69</v>
      </c>
      <c r="C17" s="3" t="s">
        <v>219</v>
      </c>
      <c r="D17" s="3"/>
      <c r="E17" s="3"/>
      <c r="F17" s="3"/>
      <c r="G17" s="26" t="s">
        <v>131</v>
      </c>
    </row>
    <row r="18" customFormat="false" ht="15" hidden="false" customHeight="false" outlineLevel="0" collapsed="false">
      <c r="A18" s="24" t="n">
        <v>16</v>
      </c>
      <c r="B18" s="24" t="s">
        <v>70</v>
      </c>
      <c r="C18" s="3" t="s">
        <v>219</v>
      </c>
      <c r="D18" s="3"/>
      <c r="E18" s="3"/>
      <c r="F18" s="3"/>
      <c r="G18" s="26" t="s">
        <v>131</v>
      </c>
    </row>
    <row r="19" customFormat="false" ht="15" hidden="false" customHeight="false" outlineLevel="0" collapsed="false">
      <c r="A19" s="24" t="n">
        <v>17</v>
      </c>
      <c r="B19" s="24" t="s">
        <v>70</v>
      </c>
      <c r="C19" s="3" t="s">
        <v>219</v>
      </c>
      <c r="D19" s="3"/>
      <c r="E19" s="3"/>
      <c r="F19" s="3"/>
      <c r="G19" s="26" t="s">
        <v>131</v>
      </c>
    </row>
    <row r="20" customFormat="false" ht="15" hidden="false" customHeight="false" outlineLevel="0" collapsed="false">
      <c r="A20" s="24" t="n">
        <v>18</v>
      </c>
      <c r="B20" s="24" t="s">
        <v>70</v>
      </c>
      <c r="C20" s="3" t="s">
        <v>219</v>
      </c>
      <c r="D20" s="3"/>
      <c r="E20" s="3"/>
      <c r="F20" s="3"/>
      <c r="G20" s="26" t="s">
        <v>131</v>
      </c>
    </row>
    <row r="21" customFormat="false" ht="15" hidden="false" customHeight="false" outlineLevel="0" collapsed="false">
      <c r="A21" s="24" t="n">
        <v>19</v>
      </c>
      <c r="B21" s="24" t="s">
        <v>70</v>
      </c>
      <c r="C21" s="3" t="s">
        <v>219</v>
      </c>
      <c r="D21" s="3"/>
      <c r="E21" s="3"/>
      <c r="F21" s="3"/>
      <c r="G21" s="26" t="s">
        <v>131</v>
      </c>
    </row>
    <row r="22" customFormat="false" ht="15" hidden="false" customHeight="false" outlineLevel="0" collapsed="false">
      <c r="A22" s="24" t="n">
        <v>20</v>
      </c>
      <c r="B22" s="24" t="s">
        <v>70</v>
      </c>
      <c r="C22" s="3" t="s">
        <v>219</v>
      </c>
      <c r="D22" s="3"/>
      <c r="E22" s="3"/>
      <c r="F22" s="3"/>
      <c r="G22" s="26" t="s">
        <v>131</v>
      </c>
    </row>
    <row r="23" customFormat="false" ht="15" hidden="false" customHeight="false" outlineLevel="0" collapsed="false">
      <c r="A23" s="24" t="n">
        <v>21</v>
      </c>
      <c r="B23" s="24" t="s">
        <v>71</v>
      </c>
      <c r="C23" s="3" t="s">
        <v>219</v>
      </c>
      <c r="D23" s="3"/>
      <c r="E23" s="3"/>
      <c r="F23" s="3"/>
      <c r="G23" s="26" t="s">
        <v>131</v>
      </c>
    </row>
    <row r="24" customFormat="false" ht="15" hidden="false" customHeight="false" outlineLevel="0" collapsed="false">
      <c r="A24" s="24" t="n">
        <v>22</v>
      </c>
      <c r="B24" s="24" t="s">
        <v>71</v>
      </c>
      <c r="C24" s="3" t="s">
        <v>219</v>
      </c>
      <c r="D24" s="3"/>
      <c r="E24" s="3"/>
      <c r="F24" s="3"/>
      <c r="G24" s="26" t="s">
        <v>131</v>
      </c>
    </row>
    <row r="25" customFormat="false" ht="15" hidden="false" customHeight="false" outlineLevel="0" collapsed="false">
      <c r="A25" s="24" t="n">
        <v>23</v>
      </c>
      <c r="B25" s="24" t="s">
        <v>71</v>
      </c>
      <c r="C25" s="3" t="s">
        <v>219</v>
      </c>
      <c r="D25" s="3"/>
      <c r="E25" s="3"/>
      <c r="F25" s="3"/>
      <c r="G25" s="26" t="s">
        <v>131</v>
      </c>
    </row>
    <row r="26" customFormat="false" ht="15" hidden="false" customHeight="false" outlineLevel="0" collapsed="false">
      <c r="A26" s="24" t="n">
        <v>24</v>
      </c>
      <c r="B26" s="24" t="s">
        <v>71</v>
      </c>
      <c r="C26" s="3" t="s">
        <v>219</v>
      </c>
      <c r="D26" s="3"/>
      <c r="E26" s="3"/>
      <c r="F26" s="3"/>
      <c r="G26" s="26" t="s">
        <v>131</v>
      </c>
    </row>
    <row r="27" customFormat="false" ht="15" hidden="false" customHeight="false" outlineLevel="0" collapsed="false">
      <c r="A27" s="24" t="n">
        <v>25</v>
      </c>
      <c r="B27" s="24" t="s">
        <v>71</v>
      </c>
      <c r="C27" s="3" t="s">
        <v>219</v>
      </c>
      <c r="D27" s="3"/>
      <c r="E27" s="3"/>
      <c r="F27" s="3"/>
      <c r="G27" s="26" t="s">
        <v>131</v>
      </c>
    </row>
    <row r="28" customFormat="false" ht="15" hidden="false" customHeight="false" outlineLevel="0" collapsed="false">
      <c r="A28" s="24" t="n">
        <v>26</v>
      </c>
      <c r="B28" s="24" t="s">
        <v>71</v>
      </c>
      <c r="C28" s="3" t="s">
        <v>219</v>
      </c>
      <c r="D28" s="3"/>
      <c r="E28" s="3"/>
      <c r="F28" s="3"/>
      <c r="G28" s="26" t="s">
        <v>131</v>
      </c>
    </row>
    <row r="29" customFormat="false" ht="15" hidden="false" customHeight="false" outlineLevel="0" collapsed="false">
      <c r="A29" s="24" t="n">
        <v>27</v>
      </c>
      <c r="B29" s="24" t="s">
        <v>71</v>
      </c>
      <c r="C29" s="3" t="s">
        <v>219</v>
      </c>
      <c r="D29" s="3"/>
      <c r="E29" s="3"/>
      <c r="F29" s="3"/>
      <c r="G29" s="26" t="s">
        <v>131</v>
      </c>
    </row>
    <row r="30" customFormat="false" ht="15" hidden="false" customHeight="false" outlineLevel="0" collapsed="false">
      <c r="A30" s="24" t="n">
        <v>28</v>
      </c>
      <c r="B30" s="24" t="s">
        <v>71</v>
      </c>
      <c r="C30" s="3" t="s">
        <v>219</v>
      </c>
      <c r="D30" s="3"/>
      <c r="E30" s="3"/>
      <c r="F30" s="3"/>
      <c r="G30" s="26" t="s">
        <v>131</v>
      </c>
    </row>
    <row r="31" customFormat="false" ht="15" hidden="false" customHeight="false" outlineLevel="0" collapsed="false">
      <c r="A31" s="24" t="n">
        <v>29</v>
      </c>
      <c r="B31" s="24" t="s">
        <v>71</v>
      </c>
      <c r="C31" s="3" t="s">
        <v>219</v>
      </c>
      <c r="D31" s="3"/>
      <c r="E31" s="3"/>
      <c r="F31" s="3"/>
      <c r="G31" s="26" t="s">
        <v>131</v>
      </c>
    </row>
    <row r="32" customFormat="false" ht="15" hidden="false" customHeight="false" outlineLevel="0" collapsed="false">
      <c r="A32" s="24" t="n">
        <v>30</v>
      </c>
      <c r="B32" s="24" t="s">
        <v>71</v>
      </c>
      <c r="C32" s="3" t="s">
        <v>219</v>
      </c>
      <c r="D32" s="3"/>
      <c r="E32" s="3"/>
      <c r="F32" s="3"/>
      <c r="G32" s="26" t="s">
        <v>131</v>
      </c>
    </row>
    <row r="33" customFormat="false" ht="15" hidden="false" customHeight="false" outlineLevel="0" collapsed="false">
      <c r="A33" s="24" t="n">
        <v>31</v>
      </c>
      <c r="B33" s="24" t="s">
        <v>71</v>
      </c>
      <c r="C33" s="3" t="s">
        <v>219</v>
      </c>
      <c r="D33" s="3"/>
      <c r="E33" s="3"/>
      <c r="F33" s="3"/>
      <c r="G33" s="26" t="s">
        <v>131</v>
      </c>
    </row>
    <row r="34" customFormat="false" ht="15" hidden="false" customHeight="false" outlineLevel="0" collapsed="false">
      <c r="A34" s="24" t="n">
        <v>32</v>
      </c>
      <c r="B34" s="24" t="s">
        <v>71</v>
      </c>
      <c r="C34" s="3" t="s">
        <v>219</v>
      </c>
      <c r="D34" s="3"/>
      <c r="E34" s="3"/>
      <c r="F34" s="3"/>
      <c r="G34" s="26" t="s">
        <v>131</v>
      </c>
    </row>
  </sheetData>
  <mergeCells count="1">
    <mergeCell ref="A1:G1"/>
  </mergeCells>
  <conditionalFormatting sqref="B3:B34">
    <cfRule type="cellIs" priority="2" operator="equal" aboveAverage="0" equalAverage="0" bottom="0" percent="0" rank="0" text="" dxfId="4">
      <formula>"Serpiente"</formula>
    </cfRule>
    <cfRule type="cellIs" priority="3" operator="equal" aboveAverage="0" equalAverage="0" bottom="0" percent="0" rank="0" text="" dxfId="5">
      <formula>"Tiburon"</formula>
    </cfRule>
    <cfRule type="cellIs" priority="4" operator="equal" aboveAverage="0" equalAverage="0" bottom="0" percent="0" rank="0" text="" dxfId="6">
      <formula>"Ballena"</formula>
    </cfRule>
    <cfRule type="cellIs" priority="5" operator="equal" aboveAverage="0" equalAverage="0" bottom="0" percent="0" rank="0" text="" dxfId="7">
      <formula>"Remolino"</formula>
    </cfRule>
    <cfRule type="cellIs" priority="6" operator="equal" aboveAverage="0" equalAverage="0" bottom="0" percent="0" rank="0" text="" dxfId="8">
      <formula>"Barco"</formula>
    </cfRule>
  </conditionalFormatting>
  <conditionalFormatting sqref="C3:C34">
    <cfRule type="cellIs" priority="7" operator="equal" aboveAverage="0" equalAverage="0" bottom="0" percent="0" rank="0" text="" dxfId="10">
      <formula>"eliminado"</formula>
    </cfRule>
    <cfRule type="cellIs" priority="8" operator="equal" aboveAverage="0" equalAverage="0" bottom="0" percent="0" rank="0" text="" dxfId="15">
      <formula>"activo"</formula>
    </cfRule>
  </conditionalFormatting>
  <dataValidations count="2">
    <dataValidation allowBlank="false" errorStyle="stop" operator="between" showDropDown="false" showErrorMessage="false" showInputMessage="false" sqref="C3:C34" type="list">
      <formula1>"reserva,activo,eliminado"</formula1>
      <formula2>0</formula2>
    </dataValidation>
    <dataValidation allowBlank="false" errorStyle="stop" operator="between" showDropDown="false" showErrorMessage="false" showInputMessage="false" sqref="F3:F34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E1D3"/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220</v>
      </c>
      <c r="B1" s="1"/>
      <c r="C1" s="1"/>
      <c r="D1" s="1"/>
      <c r="E1" s="1"/>
    </row>
    <row r="2" customFormat="false" ht="15" hidden="false" customHeight="false" outlineLevel="0" collapsed="false">
      <c r="A2" s="5" t="s">
        <v>221</v>
      </c>
      <c r="B2" s="5" t="s">
        <v>222</v>
      </c>
      <c r="C2" s="5" t="s">
        <v>223</v>
      </c>
      <c r="D2" s="5" t="s">
        <v>79</v>
      </c>
      <c r="E2" s="5" t="s">
        <v>105</v>
      </c>
    </row>
    <row r="3" customFormat="false" ht="15" hidden="false" customHeight="false" outlineLevel="0" collapsed="false">
      <c r="A3" s="24" t="n">
        <v>1</v>
      </c>
      <c r="B3" s="24" t="n">
        <v>1</v>
      </c>
      <c r="C3" s="3"/>
      <c r="D3" s="3"/>
      <c r="E3" s="26"/>
    </row>
    <row r="4" customFormat="false" ht="15" hidden="false" customHeight="false" outlineLevel="0" collapsed="false">
      <c r="A4" s="24" t="n">
        <v>1</v>
      </c>
      <c r="B4" s="24" t="n">
        <v>2</v>
      </c>
      <c r="C4" s="3"/>
      <c r="D4" s="3"/>
      <c r="E4" s="26"/>
    </row>
    <row r="5" customFormat="false" ht="15" hidden="false" customHeight="false" outlineLevel="0" collapsed="false">
      <c r="A5" s="24" t="n">
        <v>1</v>
      </c>
      <c r="B5" s="24" t="n">
        <v>3</v>
      </c>
      <c r="C5" s="3"/>
      <c r="D5" s="3"/>
      <c r="E5" s="26"/>
    </row>
    <row r="6" customFormat="false" ht="15" hidden="false" customHeight="false" outlineLevel="0" collapsed="false">
      <c r="A6" s="24" t="n">
        <v>1</v>
      </c>
      <c r="B6" s="24" t="n">
        <v>4</v>
      </c>
      <c r="C6" s="3"/>
      <c r="D6" s="3"/>
      <c r="E6" s="26"/>
    </row>
    <row r="7" customFormat="false" ht="15" hidden="false" customHeight="false" outlineLevel="0" collapsed="false">
      <c r="A7" s="24" t="n">
        <v>1</v>
      </c>
      <c r="B7" s="24" t="n">
        <v>5</v>
      </c>
      <c r="C7" s="3"/>
      <c r="D7" s="3"/>
      <c r="E7" s="26"/>
    </row>
    <row r="8" customFormat="false" ht="15" hidden="false" customHeight="false" outlineLevel="0" collapsed="false">
      <c r="A8" s="24" t="n">
        <v>1</v>
      </c>
      <c r="B8" s="24" t="n">
        <v>6</v>
      </c>
      <c r="C8" s="3"/>
      <c r="D8" s="3"/>
      <c r="E8" s="26"/>
    </row>
    <row r="9" customFormat="false" ht="15" hidden="false" customHeight="false" outlineLevel="0" collapsed="false">
      <c r="A9" s="24" t="n">
        <v>1</v>
      </c>
      <c r="B9" s="24" t="n">
        <v>7</v>
      </c>
      <c r="C9" s="3"/>
      <c r="D9" s="3"/>
      <c r="E9" s="26"/>
    </row>
    <row r="10" customFormat="false" ht="15" hidden="false" customHeight="false" outlineLevel="0" collapsed="false">
      <c r="A10" s="24" t="n">
        <v>1</v>
      </c>
      <c r="B10" s="24" t="n">
        <v>8</v>
      </c>
      <c r="C10" s="3"/>
      <c r="D10" s="3"/>
      <c r="E10" s="26"/>
    </row>
    <row r="11" customFormat="false" ht="15" hidden="false" customHeight="false" outlineLevel="0" collapsed="false">
      <c r="A11" s="24" t="n">
        <v>1</v>
      </c>
      <c r="B11" s="24" t="n">
        <v>9</v>
      </c>
      <c r="C11" s="3"/>
      <c r="D11" s="3"/>
      <c r="E11" s="26"/>
    </row>
    <row r="12" customFormat="false" ht="15" hidden="false" customHeight="false" outlineLevel="0" collapsed="false">
      <c r="A12" s="24" t="n">
        <v>1</v>
      </c>
      <c r="B12" s="24" t="n">
        <v>10</v>
      </c>
      <c r="C12" s="3"/>
      <c r="D12" s="3"/>
      <c r="E12" s="26"/>
    </row>
    <row r="13" customFormat="false" ht="15" hidden="false" customHeight="false" outlineLevel="0" collapsed="false">
      <c r="A13" s="24" t="n">
        <v>2</v>
      </c>
      <c r="B13" s="24" t="n">
        <v>1</v>
      </c>
      <c r="C13" s="3"/>
      <c r="D13" s="3"/>
      <c r="E13" s="26"/>
    </row>
    <row r="14" customFormat="false" ht="15" hidden="false" customHeight="false" outlineLevel="0" collapsed="false">
      <c r="A14" s="24" t="n">
        <v>2</v>
      </c>
      <c r="B14" s="24" t="n">
        <v>2</v>
      </c>
      <c r="C14" s="3"/>
      <c r="D14" s="3"/>
      <c r="E14" s="26"/>
    </row>
    <row r="15" customFormat="false" ht="15" hidden="false" customHeight="false" outlineLevel="0" collapsed="false">
      <c r="A15" s="24" t="n">
        <v>2</v>
      </c>
      <c r="B15" s="24" t="n">
        <v>3</v>
      </c>
      <c r="C15" s="3"/>
      <c r="D15" s="3"/>
      <c r="E15" s="26"/>
    </row>
    <row r="16" customFormat="false" ht="15" hidden="false" customHeight="false" outlineLevel="0" collapsed="false">
      <c r="A16" s="24" t="n">
        <v>2</v>
      </c>
      <c r="B16" s="24" t="n">
        <v>4</v>
      </c>
      <c r="C16" s="3"/>
      <c r="D16" s="3"/>
      <c r="E16" s="26"/>
    </row>
    <row r="17" customFormat="false" ht="15" hidden="false" customHeight="false" outlineLevel="0" collapsed="false">
      <c r="A17" s="24" t="n">
        <v>2</v>
      </c>
      <c r="B17" s="24" t="n">
        <v>5</v>
      </c>
      <c r="C17" s="3"/>
      <c r="D17" s="3"/>
      <c r="E17" s="26"/>
    </row>
    <row r="18" customFormat="false" ht="15" hidden="false" customHeight="false" outlineLevel="0" collapsed="false">
      <c r="A18" s="24" t="n">
        <v>2</v>
      </c>
      <c r="B18" s="24" t="n">
        <v>6</v>
      </c>
      <c r="C18" s="3"/>
      <c r="D18" s="3"/>
      <c r="E18" s="26"/>
    </row>
    <row r="19" customFormat="false" ht="15" hidden="false" customHeight="false" outlineLevel="0" collapsed="false">
      <c r="A19" s="24" t="n">
        <v>2</v>
      </c>
      <c r="B19" s="24" t="n">
        <v>7</v>
      </c>
      <c r="C19" s="3"/>
      <c r="D19" s="3"/>
      <c r="E19" s="26"/>
    </row>
    <row r="20" customFormat="false" ht="15" hidden="false" customHeight="false" outlineLevel="0" collapsed="false">
      <c r="A20" s="24" t="n">
        <v>2</v>
      </c>
      <c r="B20" s="24" t="n">
        <v>8</v>
      </c>
      <c r="C20" s="3"/>
      <c r="D20" s="3"/>
      <c r="E20" s="26"/>
    </row>
    <row r="21" customFormat="false" ht="15" hidden="false" customHeight="false" outlineLevel="0" collapsed="false">
      <c r="A21" s="24" t="n">
        <v>2</v>
      </c>
      <c r="B21" s="24" t="n">
        <v>9</v>
      </c>
      <c r="C21" s="3"/>
      <c r="D21" s="3"/>
      <c r="E21" s="26"/>
    </row>
    <row r="22" customFormat="false" ht="15" hidden="false" customHeight="false" outlineLevel="0" collapsed="false">
      <c r="A22" s="24" t="n">
        <v>2</v>
      </c>
      <c r="B22" s="24" t="n">
        <v>10</v>
      </c>
      <c r="C22" s="3"/>
      <c r="D22" s="3"/>
      <c r="E22" s="26"/>
    </row>
    <row r="23" customFormat="false" ht="15" hidden="false" customHeight="false" outlineLevel="0" collapsed="false">
      <c r="A23" s="24" t="n">
        <v>3</v>
      </c>
      <c r="B23" s="24" t="n">
        <v>1</v>
      </c>
      <c r="C23" s="3"/>
      <c r="D23" s="3"/>
      <c r="E23" s="26"/>
    </row>
    <row r="24" customFormat="false" ht="15" hidden="false" customHeight="false" outlineLevel="0" collapsed="false">
      <c r="A24" s="24" t="n">
        <v>3</v>
      </c>
      <c r="B24" s="24" t="n">
        <v>2</v>
      </c>
      <c r="C24" s="3"/>
      <c r="D24" s="3"/>
      <c r="E24" s="26"/>
    </row>
    <row r="25" customFormat="false" ht="15" hidden="false" customHeight="false" outlineLevel="0" collapsed="false">
      <c r="A25" s="24" t="n">
        <v>3</v>
      </c>
      <c r="B25" s="24" t="n">
        <v>3</v>
      </c>
      <c r="C25" s="3"/>
      <c r="D25" s="3"/>
      <c r="E25" s="26"/>
    </row>
    <row r="26" customFormat="false" ht="15" hidden="false" customHeight="false" outlineLevel="0" collapsed="false">
      <c r="A26" s="24" t="n">
        <v>3</v>
      </c>
      <c r="B26" s="24" t="n">
        <v>4</v>
      </c>
      <c r="C26" s="3"/>
      <c r="D26" s="3"/>
      <c r="E26" s="26"/>
    </row>
    <row r="27" customFormat="false" ht="15" hidden="false" customHeight="false" outlineLevel="0" collapsed="false">
      <c r="A27" s="24" t="n">
        <v>3</v>
      </c>
      <c r="B27" s="24" t="n">
        <v>5</v>
      </c>
      <c r="C27" s="3"/>
      <c r="D27" s="3"/>
      <c r="E27" s="26"/>
    </row>
    <row r="28" customFormat="false" ht="15" hidden="false" customHeight="false" outlineLevel="0" collapsed="false">
      <c r="A28" s="24" t="n">
        <v>3</v>
      </c>
      <c r="B28" s="24" t="n">
        <v>6</v>
      </c>
      <c r="C28" s="3"/>
      <c r="D28" s="3"/>
      <c r="E28" s="26"/>
    </row>
    <row r="29" customFormat="false" ht="15" hidden="false" customHeight="false" outlineLevel="0" collapsed="false">
      <c r="A29" s="24" t="n">
        <v>3</v>
      </c>
      <c r="B29" s="24" t="n">
        <v>7</v>
      </c>
      <c r="C29" s="3"/>
      <c r="D29" s="3"/>
      <c r="E29" s="26"/>
    </row>
    <row r="30" customFormat="false" ht="15" hidden="false" customHeight="false" outlineLevel="0" collapsed="false">
      <c r="A30" s="24" t="n">
        <v>3</v>
      </c>
      <c r="B30" s="24" t="n">
        <v>8</v>
      </c>
      <c r="C30" s="3"/>
      <c r="D30" s="3"/>
      <c r="E30" s="26"/>
    </row>
    <row r="31" customFormat="false" ht="15" hidden="false" customHeight="false" outlineLevel="0" collapsed="false">
      <c r="A31" s="24" t="n">
        <v>3</v>
      </c>
      <c r="B31" s="24" t="n">
        <v>9</v>
      </c>
      <c r="C31" s="3"/>
      <c r="D31" s="3"/>
      <c r="E31" s="26"/>
    </row>
    <row r="32" customFormat="false" ht="15" hidden="false" customHeight="false" outlineLevel="0" collapsed="false">
      <c r="A32" s="24" t="n">
        <v>3</v>
      </c>
      <c r="B32" s="24" t="n">
        <v>10</v>
      </c>
      <c r="C32" s="3"/>
      <c r="D32" s="3"/>
      <c r="E32" s="26"/>
    </row>
    <row r="33" customFormat="false" ht="15" hidden="false" customHeight="false" outlineLevel="0" collapsed="false">
      <c r="A33" s="24" t="n">
        <v>4</v>
      </c>
      <c r="B33" s="24" t="n">
        <v>1</v>
      </c>
      <c r="C33" s="3"/>
      <c r="D33" s="3"/>
      <c r="E33" s="26"/>
    </row>
    <row r="34" customFormat="false" ht="15" hidden="false" customHeight="false" outlineLevel="0" collapsed="false">
      <c r="A34" s="24" t="n">
        <v>4</v>
      </c>
      <c r="B34" s="24" t="n">
        <v>2</v>
      </c>
      <c r="C34" s="3"/>
      <c r="D34" s="3"/>
      <c r="E34" s="26"/>
    </row>
    <row r="35" customFormat="false" ht="15" hidden="false" customHeight="false" outlineLevel="0" collapsed="false">
      <c r="A35" s="24" t="n">
        <v>4</v>
      </c>
      <c r="B35" s="24" t="n">
        <v>3</v>
      </c>
      <c r="C35" s="3"/>
      <c r="D35" s="3"/>
      <c r="E35" s="26"/>
    </row>
    <row r="36" customFormat="false" ht="15" hidden="false" customHeight="false" outlineLevel="0" collapsed="false">
      <c r="A36" s="24" t="n">
        <v>4</v>
      </c>
      <c r="B36" s="24" t="n">
        <v>4</v>
      </c>
      <c r="C36" s="3"/>
      <c r="D36" s="3"/>
      <c r="E36" s="26"/>
    </row>
    <row r="37" customFormat="false" ht="15" hidden="false" customHeight="false" outlineLevel="0" collapsed="false">
      <c r="A37" s="24" t="n">
        <v>4</v>
      </c>
      <c r="B37" s="24" t="n">
        <v>5</v>
      </c>
      <c r="C37" s="3"/>
      <c r="D37" s="3"/>
      <c r="E37" s="26"/>
    </row>
    <row r="38" customFormat="false" ht="15" hidden="false" customHeight="false" outlineLevel="0" collapsed="false">
      <c r="A38" s="24" t="n">
        <v>4</v>
      </c>
      <c r="B38" s="24" t="n">
        <v>6</v>
      </c>
      <c r="C38" s="3"/>
      <c r="D38" s="3"/>
      <c r="E38" s="26"/>
    </row>
    <row r="39" customFormat="false" ht="15" hidden="false" customHeight="false" outlineLevel="0" collapsed="false">
      <c r="A39" s="24" t="n">
        <v>4</v>
      </c>
      <c r="B39" s="24" t="n">
        <v>7</v>
      </c>
      <c r="C39" s="3"/>
      <c r="D39" s="3"/>
      <c r="E39" s="26"/>
    </row>
    <row r="40" customFormat="false" ht="15" hidden="false" customHeight="false" outlineLevel="0" collapsed="false">
      <c r="A40" s="24" t="n">
        <v>4</v>
      </c>
      <c r="B40" s="24" t="n">
        <v>8</v>
      </c>
      <c r="C40" s="3"/>
      <c r="D40" s="3"/>
      <c r="E40" s="26"/>
    </row>
    <row r="41" customFormat="false" ht="15" hidden="false" customHeight="false" outlineLevel="0" collapsed="false">
      <c r="A41" s="24" t="n">
        <v>4</v>
      </c>
      <c r="B41" s="24" t="n">
        <v>9</v>
      </c>
      <c r="C41" s="3"/>
      <c r="D41" s="3"/>
      <c r="E41" s="26"/>
    </row>
    <row r="42" customFormat="false" ht="15" hidden="false" customHeight="false" outlineLevel="0" collapsed="false">
      <c r="A42" s="24" t="n">
        <v>4</v>
      </c>
      <c r="B42" s="24" t="n">
        <v>10</v>
      </c>
      <c r="C42" s="3"/>
      <c r="D42" s="3"/>
      <c r="E42" s="26"/>
    </row>
    <row r="43" customFormat="false" ht="15" hidden="false" customHeight="false" outlineLevel="0" collapsed="false">
      <c r="A43" s="24" t="n">
        <v>5</v>
      </c>
      <c r="B43" s="24" t="n">
        <v>1</v>
      </c>
      <c r="C43" s="3"/>
      <c r="D43" s="3"/>
      <c r="E43" s="26"/>
    </row>
    <row r="44" customFormat="false" ht="15" hidden="false" customHeight="false" outlineLevel="0" collapsed="false">
      <c r="A44" s="24" t="n">
        <v>5</v>
      </c>
      <c r="B44" s="24" t="n">
        <v>2</v>
      </c>
      <c r="C44" s="3"/>
      <c r="D44" s="3"/>
      <c r="E44" s="26"/>
    </row>
    <row r="45" customFormat="false" ht="15" hidden="false" customHeight="false" outlineLevel="0" collapsed="false">
      <c r="A45" s="24" t="n">
        <v>5</v>
      </c>
      <c r="B45" s="24" t="n">
        <v>3</v>
      </c>
      <c r="C45" s="3"/>
      <c r="D45" s="3"/>
      <c r="E45" s="26"/>
    </row>
    <row r="46" customFormat="false" ht="15" hidden="false" customHeight="false" outlineLevel="0" collapsed="false">
      <c r="A46" s="24" t="n">
        <v>5</v>
      </c>
      <c r="B46" s="24" t="n">
        <v>4</v>
      </c>
      <c r="C46" s="3"/>
      <c r="D46" s="3"/>
      <c r="E46" s="26"/>
    </row>
    <row r="47" customFormat="false" ht="15" hidden="false" customHeight="false" outlineLevel="0" collapsed="false">
      <c r="A47" s="24" t="n">
        <v>5</v>
      </c>
      <c r="B47" s="24" t="n">
        <v>5</v>
      </c>
      <c r="C47" s="3"/>
      <c r="D47" s="3"/>
      <c r="E47" s="26"/>
    </row>
    <row r="48" customFormat="false" ht="15" hidden="false" customHeight="false" outlineLevel="0" collapsed="false">
      <c r="A48" s="24" t="n">
        <v>5</v>
      </c>
      <c r="B48" s="24" t="n">
        <v>6</v>
      </c>
      <c r="C48" s="3"/>
      <c r="D48" s="3"/>
      <c r="E48" s="26"/>
    </row>
    <row r="49" customFormat="false" ht="15" hidden="false" customHeight="false" outlineLevel="0" collapsed="false">
      <c r="A49" s="24" t="n">
        <v>5</v>
      </c>
      <c r="B49" s="24" t="n">
        <v>7</v>
      </c>
      <c r="C49" s="3"/>
      <c r="D49" s="3"/>
      <c r="E49" s="26"/>
    </row>
    <row r="50" customFormat="false" ht="15" hidden="false" customHeight="false" outlineLevel="0" collapsed="false">
      <c r="A50" s="24" t="n">
        <v>5</v>
      </c>
      <c r="B50" s="24" t="n">
        <v>8</v>
      </c>
      <c r="C50" s="3"/>
      <c r="D50" s="3"/>
      <c r="E50" s="26"/>
    </row>
    <row r="51" customFormat="false" ht="15" hidden="false" customHeight="false" outlineLevel="0" collapsed="false">
      <c r="A51" s="24" t="n">
        <v>5</v>
      </c>
      <c r="B51" s="24" t="n">
        <v>9</v>
      </c>
      <c r="C51" s="3"/>
      <c r="D51" s="3"/>
      <c r="E51" s="26"/>
    </row>
    <row r="52" customFormat="false" ht="15" hidden="false" customHeight="false" outlineLevel="0" collapsed="false">
      <c r="A52" s="24" t="n">
        <v>5</v>
      </c>
      <c r="B52" s="24" t="n">
        <v>10</v>
      </c>
      <c r="C52" s="3"/>
      <c r="D52" s="3"/>
      <c r="E52" s="26"/>
    </row>
    <row r="53" customFormat="false" ht="15" hidden="false" customHeight="false" outlineLevel="0" collapsed="false">
      <c r="A53" s="24" t="n">
        <v>6</v>
      </c>
      <c r="B53" s="24" t="n">
        <v>1</v>
      </c>
      <c r="C53" s="3"/>
      <c r="D53" s="3"/>
      <c r="E53" s="26"/>
    </row>
    <row r="54" customFormat="false" ht="15" hidden="false" customHeight="false" outlineLevel="0" collapsed="false">
      <c r="A54" s="24" t="n">
        <v>6</v>
      </c>
      <c r="B54" s="24" t="n">
        <v>2</v>
      </c>
      <c r="C54" s="3"/>
      <c r="D54" s="3"/>
      <c r="E54" s="26"/>
    </row>
    <row r="55" customFormat="false" ht="15" hidden="false" customHeight="false" outlineLevel="0" collapsed="false">
      <c r="A55" s="24" t="n">
        <v>6</v>
      </c>
      <c r="B55" s="24" t="n">
        <v>3</v>
      </c>
      <c r="C55" s="3"/>
      <c r="D55" s="3"/>
      <c r="E55" s="26"/>
    </row>
    <row r="56" customFormat="false" ht="15" hidden="false" customHeight="false" outlineLevel="0" collapsed="false">
      <c r="A56" s="24" t="n">
        <v>6</v>
      </c>
      <c r="B56" s="24" t="n">
        <v>4</v>
      </c>
      <c r="C56" s="3"/>
      <c r="D56" s="3"/>
      <c r="E56" s="26"/>
    </row>
    <row r="57" customFormat="false" ht="15" hidden="false" customHeight="false" outlineLevel="0" collapsed="false">
      <c r="A57" s="24" t="n">
        <v>6</v>
      </c>
      <c r="B57" s="24" t="n">
        <v>5</v>
      </c>
      <c r="C57" s="3"/>
      <c r="D57" s="3"/>
      <c r="E57" s="26"/>
    </row>
    <row r="58" customFormat="false" ht="15" hidden="false" customHeight="false" outlineLevel="0" collapsed="false">
      <c r="A58" s="24" t="n">
        <v>6</v>
      </c>
      <c r="B58" s="24" t="n">
        <v>6</v>
      </c>
      <c r="C58" s="3"/>
      <c r="D58" s="3"/>
      <c r="E58" s="26"/>
    </row>
    <row r="59" customFormat="false" ht="15" hidden="false" customHeight="false" outlineLevel="0" collapsed="false">
      <c r="A59" s="24" t="n">
        <v>6</v>
      </c>
      <c r="B59" s="24" t="n">
        <v>7</v>
      </c>
      <c r="C59" s="3"/>
      <c r="D59" s="3"/>
      <c r="E59" s="26"/>
    </row>
    <row r="60" customFormat="false" ht="15" hidden="false" customHeight="false" outlineLevel="0" collapsed="false">
      <c r="A60" s="24" t="n">
        <v>6</v>
      </c>
      <c r="B60" s="24" t="n">
        <v>8</v>
      </c>
      <c r="C60" s="3"/>
      <c r="D60" s="3"/>
      <c r="E60" s="26"/>
    </row>
    <row r="61" customFormat="false" ht="15" hidden="false" customHeight="false" outlineLevel="0" collapsed="false">
      <c r="A61" s="24" t="n">
        <v>6</v>
      </c>
      <c r="B61" s="24" t="n">
        <v>9</v>
      </c>
      <c r="C61" s="3"/>
      <c r="D61" s="3"/>
      <c r="E61" s="26"/>
    </row>
    <row r="62" customFormat="false" ht="15" hidden="false" customHeight="false" outlineLevel="0" collapsed="false">
      <c r="A62" s="24" t="n">
        <v>6</v>
      </c>
      <c r="B62" s="24" t="n">
        <v>10</v>
      </c>
      <c r="C62" s="3"/>
      <c r="D62" s="3"/>
      <c r="E62" s="26"/>
    </row>
  </sheetData>
  <mergeCells count="1">
    <mergeCell ref="A1:E1"/>
  </mergeCells>
  <conditionalFormatting sqref="A3:B12">
    <cfRule type="expression" priority="2" aboveAverage="0" equalAverage="0" bottom="0" percent="0" rank="0" text="" dxfId="16">
      <formula>$A3&gt;0</formula>
    </cfRule>
  </conditionalFormatting>
  <conditionalFormatting sqref="A13:B22">
    <cfRule type="expression" priority="3" aboveAverage="0" equalAverage="0" bottom="0" percent="0" rank="0" text="" dxfId="17">
      <formula>$A13&gt;0</formula>
    </cfRule>
  </conditionalFormatting>
  <conditionalFormatting sqref="A23:B32">
    <cfRule type="expression" priority="4" aboveAverage="0" equalAverage="0" bottom="0" percent="0" rank="0" text="" dxfId="18">
      <formula>$A23&gt;0</formula>
    </cfRule>
  </conditionalFormatting>
  <conditionalFormatting sqref="A33:B42">
    <cfRule type="expression" priority="5" aboveAverage="0" equalAverage="0" bottom="0" percent="0" rank="0" text="" dxfId="19">
      <formula>$A33&gt;0</formula>
    </cfRule>
  </conditionalFormatting>
  <conditionalFormatting sqref="A43:B52">
    <cfRule type="expression" priority="6" aboveAverage="0" equalAverage="0" bottom="0" percent="0" rank="0" text="" dxfId="20">
      <formula>$A43&gt;0</formula>
    </cfRule>
  </conditionalFormatting>
  <conditionalFormatting sqref="A53:B62">
    <cfRule type="expression" priority="7" aboveAverage="0" equalAverage="0" bottom="0" percent="0" rank="0" text="" dxfId="21">
      <formula>$A53&gt;0</formula>
    </cfRule>
  </conditionalFormatting>
  <dataValidations count="2">
    <dataValidation allowBlank="true" errorStyle="stop" operator="between" showDropDown="false" showErrorMessage="false" showInputMessage="false" sqref="C3:C62" type="list">
      <formula1>"MAN_Delfin,MAN_Vientos,MAN_Serpiente,MAN_Tiburon,MAN_Ballena,DEF_Tiburon,DEF_Ballena"</formula1>
      <formula2>0</formula2>
    </dataValidation>
    <dataValidation allowBlank="true" errorStyle="stop" operator="between" showDropDown="false" showErrorMessage="false" showInputMessage="false" sqref="D3:D62" type="list">
      <formula1>"En mano,Jugada,Descartada"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40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5" t="s">
        <v>225</v>
      </c>
      <c r="B2" s="5" t="s">
        <v>221</v>
      </c>
      <c r="C2" s="5" t="s">
        <v>226</v>
      </c>
      <c r="D2" s="5" t="s">
        <v>147</v>
      </c>
      <c r="E2" s="5" t="s">
        <v>149</v>
      </c>
      <c r="F2" s="5" t="s">
        <v>227</v>
      </c>
      <c r="G2" s="5" t="s">
        <v>228</v>
      </c>
    </row>
    <row r="3" customFormat="false" ht="15" hidden="false" customHeight="false" outlineLevel="0" collapsed="false">
      <c r="A3" s="3"/>
      <c r="B3" s="3"/>
      <c r="C3" s="10" t="str">
        <f aca="false">IF(B3="","",CHOOSE(B3,"Rojo","Turquesa","Amarillo","Verde menta","Purpura","Salmon"))</f>
        <v/>
      </c>
      <c r="D3" s="3"/>
      <c r="E3" s="29"/>
      <c r="F3" s="29"/>
      <c r="G3" s="3"/>
    </row>
    <row r="4" customFormat="false" ht="15" hidden="false" customHeight="false" outlineLevel="0" collapsed="false">
      <c r="A4" s="3"/>
      <c r="B4" s="3"/>
      <c r="C4" s="10" t="str">
        <f aca="false">IF(B4="","",CHOOSE(B4,"Rojo","Turquesa","Amarillo","Verde menta","Purpura","Salmon"))</f>
        <v/>
      </c>
      <c r="D4" s="3"/>
      <c r="E4" s="29"/>
      <c r="F4" s="29"/>
      <c r="G4" s="3"/>
    </row>
    <row r="5" customFormat="false" ht="15" hidden="false" customHeight="false" outlineLevel="0" collapsed="false">
      <c r="A5" s="3"/>
      <c r="B5" s="3"/>
      <c r="C5" s="10" t="str">
        <f aca="false">IF(B5="","",CHOOSE(B5,"Rojo","Turquesa","Amarillo","Verde menta","Purpura","Salmon"))</f>
        <v/>
      </c>
      <c r="D5" s="3"/>
      <c r="E5" s="29"/>
      <c r="F5" s="29"/>
      <c r="G5" s="3"/>
    </row>
    <row r="6" customFormat="false" ht="15" hidden="false" customHeight="false" outlineLevel="0" collapsed="false">
      <c r="A6" s="3"/>
      <c r="B6" s="3"/>
      <c r="C6" s="10" t="str">
        <f aca="false">IF(B6="","",CHOOSE(B6,"Rojo","Turquesa","Amarillo","Verde menta","Purpura","Salmon"))</f>
        <v/>
      </c>
      <c r="D6" s="3"/>
      <c r="E6" s="29"/>
      <c r="F6" s="29"/>
      <c r="G6" s="3"/>
    </row>
    <row r="7" customFormat="false" ht="15" hidden="false" customHeight="false" outlineLevel="0" collapsed="false">
      <c r="A7" s="3"/>
      <c r="B7" s="3"/>
      <c r="C7" s="10" t="str">
        <f aca="false">IF(B7="","",CHOOSE(B7,"Rojo","Turquesa","Amarillo","Verde menta","Purpura","Salmon"))</f>
        <v/>
      </c>
      <c r="D7" s="3"/>
      <c r="E7" s="29"/>
      <c r="F7" s="29"/>
      <c r="G7" s="3"/>
    </row>
    <row r="8" customFormat="false" ht="15" hidden="false" customHeight="false" outlineLevel="0" collapsed="false">
      <c r="A8" s="3"/>
      <c r="B8" s="3"/>
      <c r="C8" s="10" t="str">
        <f aca="false">IF(B8="","",CHOOSE(B8,"Rojo","Turquesa","Amarillo","Verde menta","Purpura","Salmon"))</f>
        <v/>
      </c>
      <c r="D8" s="3"/>
      <c r="E8" s="29"/>
      <c r="F8" s="29"/>
      <c r="G8" s="3"/>
    </row>
    <row r="9" customFormat="false" ht="15" hidden="false" customHeight="false" outlineLevel="0" collapsed="false">
      <c r="A9" s="3"/>
      <c r="B9" s="3"/>
      <c r="C9" s="10" t="str">
        <f aca="false">IF(B9="","",CHOOSE(B9,"Rojo","Turquesa","Amarillo","Verde menta","Purpura","Salmon"))</f>
        <v/>
      </c>
      <c r="D9" s="3"/>
      <c r="E9" s="29"/>
      <c r="F9" s="29"/>
      <c r="G9" s="3"/>
    </row>
    <row r="10" customFormat="false" ht="15" hidden="false" customHeight="false" outlineLevel="0" collapsed="false">
      <c r="A10" s="3"/>
      <c r="B10" s="3"/>
      <c r="C10" s="10" t="str">
        <f aca="false">IF(B10="","",CHOOSE(B10,"Rojo","Turquesa","Amarillo","Verde menta","Purpura","Salmon"))</f>
        <v/>
      </c>
      <c r="D10" s="3"/>
      <c r="E10" s="29"/>
      <c r="F10" s="29"/>
      <c r="G10" s="3"/>
    </row>
    <row r="11" customFormat="false" ht="15" hidden="false" customHeight="false" outlineLevel="0" collapsed="false">
      <c r="A11" s="3"/>
      <c r="B11" s="3"/>
      <c r="C11" s="10" t="str">
        <f aca="false">IF(B11="","",CHOOSE(B11,"Rojo","Turquesa","Amarillo","Verde menta","Purpura","Salmon"))</f>
        <v/>
      </c>
      <c r="D11" s="3"/>
      <c r="E11" s="29"/>
      <c r="F11" s="29"/>
      <c r="G11" s="3"/>
    </row>
    <row r="12" customFormat="false" ht="15" hidden="false" customHeight="false" outlineLevel="0" collapsed="false">
      <c r="A12" s="3"/>
      <c r="B12" s="3"/>
      <c r="C12" s="10" t="str">
        <f aca="false">IF(B12="","",CHOOSE(B12,"Rojo","Turquesa","Amarillo","Verde menta","Purpura","Salmon"))</f>
        <v/>
      </c>
      <c r="D12" s="3"/>
      <c r="E12" s="29"/>
      <c r="F12" s="29"/>
      <c r="G12" s="3"/>
    </row>
    <row r="13" customFormat="false" ht="15" hidden="false" customHeight="false" outlineLevel="0" collapsed="false">
      <c r="A13" s="3"/>
      <c r="B13" s="3"/>
      <c r="C13" s="10" t="str">
        <f aca="false">IF(B13="","",CHOOSE(B13,"Rojo","Turquesa","Amarillo","Verde menta","Purpura","Salmon"))</f>
        <v/>
      </c>
      <c r="D13" s="3"/>
      <c r="E13" s="29"/>
      <c r="F13" s="29"/>
      <c r="G13" s="3"/>
    </row>
    <row r="14" customFormat="false" ht="15" hidden="false" customHeight="false" outlineLevel="0" collapsed="false">
      <c r="A14" s="3"/>
      <c r="B14" s="3"/>
      <c r="C14" s="10" t="str">
        <f aca="false">IF(B14="","",CHOOSE(B14,"Rojo","Turquesa","Amarillo","Verde menta","Purpura","Salmon"))</f>
        <v/>
      </c>
      <c r="D14" s="3"/>
      <c r="E14" s="29"/>
      <c r="F14" s="29"/>
      <c r="G14" s="3"/>
    </row>
    <row r="15" customFormat="false" ht="15" hidden="false" customHeight="false" outlineLevel="0" collapsed="false">
      <c r="A15" s="3"/>
      <c r="B15" s="3"/>
      <c r="C15" s="10" t="str">
        <f aca="false">IF(B15="","",CHOOSE(B15,"Rojo","Turquesa","Amarillo","Verde menta","Purpura","Salmon"))</f>
        <v/>
      </c>
      <c r="D15" s="3"/>
      <c r="E15" s="29"/>
      <c r="F15" s="29"/>
      <c r="G15" s="3"/>
    </row>
    <row r="16" customFormat="false" ht="15" hidden="false" customHeight="false" outlineLevel="0" collapsed="false">
      <c r="A16" s="3"/>
      <c r="B16" s="3"/>
      <c r="C16" s="10" t="str">
        <f aca="false">IF(B16="","",CHOOSE(B16,"Rojo","Turquesa","Amarillo","Verde menta","Purpura","Salmon"))</f>
        <v/>
      </c>
      <c r="D16" s="3"/>
      <c r="E16" s="29"/>
      <c r="F16" s="29"/>
      <c r="G16" s="3"/>
    </row>
    <row r="17" customFormat="false" ht="15" hidden="false" customHeight="false" outlineLevel="0" collapsed="false">
      <c r="A17" s="3"/>
      <c r="B17" s="3"/>
      <c r="C17" s="10" t="str">
        <f aca="false">IF(B17="","",CHOOSE(B17,"Rojo","Turquesa","Amarillo","Verde menta","Purpura","Salmon"))</f>
        <v/>
      </c>
      <c r="D17" s="3"/>
      <c r="E17" s="29"/>
      <c r="F17" s="29"/>
      <c r="G17" s="3"/>
    </row>
    <row r="18" customFormat="false" ht="15" hidden="false" customHeight="false" outlineLevel="0" collapsed="false">
      <c r="A18" s="3"/>
      <c r="B18" s="3"/>
      <c r="C18" s="10" t="str">
        <f aca="false">IF(B18="","",CHOOSE(B18,"Rojo","Turquesa","Amarillo","Verde menta","Purpura","Salmon"))</f>
        <v/>
      </c>
      <c r="D18" s="3"/>
      <c r="E18" s="29"/>
      <c r="F18" s="29"/>
      <c r="G18" s="3"/>
    </row>
    <row r="19" customFormat="false" ht="15" hidden="false" customHeight="false" outlineLevel="0" collapsed="false">
      <c r="A19" s="3"/>
      <c r="B19" s="3"/>
      <c r="C19" s="10" t="str">
        <f aca="false">IF(B19="","",CHOOSE(B19,"Rojo","Turquesa","Amarillo","Verde menta","Purpura","Salmon"))</f>
        <v/>
      </c>
      <c r="D19" s="3"/>
      <c r="E19" s="29"/>
      <c r="F19" s="29"/>
      <c r="G19" s="3"/>
    </row>
    <row r="20" customFormat="false" ht="15" hidden="false" customHeight="false" outlineLevel="0" collapsed="false">
      <c r="A20" s="3"/>
      <c r="B20" s="3"/>
      <c r="C20" s="10" t="str">
        <f aca="false">IF(B20="","",CHOOSE(B20,"Rojo","Turquesa","Amarillo","Verde menta","Purpura","Salmon"))</f>
        <v/>
      </c>
      <c r="D20" s="3"/>
      <c r="E20" s="29"/>
      <c r="F20" s="29"/>
      <c r="G20" s="3"/>
    </row>
    <row r="21" customFormat="false" ht="15" hidden="false" customHeight="false" outlineLevel="0" collapsed="false">
      <c r="A21" s="3"/>
      <c r="B21" s="3"/>
      <c r="C21" s="10" t="str">
        <f aca="false">IF(B21="","",CHOOSE(B21,"Rojo","Turquesa","Amarillo","Verde menta","Purpura","Salmon"))</f>
        <v/>
      </c>
      <c r="D21" s="3"/>
      <c r="E21" s="29"/>
      <c r="F21" s="29"/>
      <c r="G21" s="3"/>
    </row>
    <row r="22" customFormat="false" ht="15" hidden="false" customHeight="false" outlineLevel="0" collapsed="false">
      <c r="A22" s="3"/>
      <c r="B22" s="3"/>
      <c r="C22" s="10" t="str">
        <f aca="false">IF(B22="","",CHOOSE(B22,"Rojo","Turquesa","Amarillo","Verde menta","Purpura","Salmon"))</f>
        <v/>
      </c>
      <c r="D22" s="3"/>
      <c r="E22" s="29"/>
      <c r="F22" s="29"/>
      <c r="G22" s="3"/>
    </row>
    <row r="23" customFormat="false" ht="15" hidden="false" customHeight="false" outlineLevel="0" collapsed="false">
      <c r="A23" s="3"/>
      <c r="B23" s="3"/>
      <c r="C23" s="10" t="str">
        <f aca="false">IF(B23="","",CHOOSE(B23,"Rojo","Turquesa","Amarillo","Verde menta","Purpura","Salmon"))</f>
        <v/>
      </c>
      <c r="D23" s="3"/>
      <c r="E23" s="29"/>
      <c r="F23" s="29"/>
      <c r="G23" s="3"/>
    </row>
    <row r="24" customFormat="false" ht="15" hidden="false" customHeight="false" outlineLevel="0" collapsed="false">
      <c r="A24" s="3"/>
      <c r="B24" s="3"/>
      <c r="C24" s="10" t="str">
        <f aca="false">IF(B24="","",CHOOSE(B24,"Rojo","Turquesa","Amarillo","Verde menta","Purpura","Salmon"))</f>
        <v/>
      </c>
      <c r="D24" s="3"/>
      <c r="E24" s="29"/>
      <c r="F24" s="29"/>
      <c r="G24" s="3"/>
    </row>
    <row r="25" customFormat="false" ht="15" hidden="false" customHeight="false" outlineLevel="0" collapsed="false">
      <c r="A25" s="3"/>
      <c r="B25" s="3"/>
      <c r="C25" s="10" t="str">
        <f aca="false">IF(B25="","",CHOOSE(B25,"Rojo","Turquesa","Amarillo","Verde menta","Purpura","Salmon"))</f>
        <v/>
      </c>
      <c r="D25" s="3"/>
      <c r="E25" s="29"/>
      <c r="F25" s="29"/>
      <c r="G25" s="3"/>
    </row>
    <row r="26" customFormat="false" ht="15" hidden="false" customHeight="false" outlineLevel="0" collapsed="false">
      <c r="A26" s="3"/>
      <c r="B26" s="3"/>
      <c r="C26" s="10" t="str">
        <f aca="false">IF(B26="","",CHOOSE(B26,"Rojo","Turquesa","Amarillo","Verde menta","Purpura","Salmon"))</f>
        <v/>
      </c>
      <c r="D26" s="3"/>
      <c r="E26" s="29"/>
      <c r="F26" s="29"/>
      <c r="G26" s="3"/>
    </row>
    <row r="27" customFormat="false" ht="15" hidden="false" customHeight="false" outlineLevel="0" collapsed="false">
      <c r="A27" s="3"/>
      <c r="B27" s="3"/>
      <c r="C27" s="10" t="str">
        <f aca="false">IF(B27="","",CHOOSE(B27,"Rojo","Turquesa","Amarillo","Verde menta","Purpura","Salmon"))</f>
        <v/>
      </c>
      <c r="D27" s="3"/>
      <c r="E27" s="29"/>
      <c r="F27" s="29"/>
      <c r="G27" s="3"/>
    </row>
    <row r="28" customFormat="false" ht="15" hidden="false" customHeight="false" outlineLevel="0" collapsed="false">
      <c r="A28" s="3"/>
      <c r="B28" s="3"/>
      <c r="C28" s="10" t="str">
        <f aca="false">IF(B28="","",CHOOSE(B28,"Rojo","Turquesa","Amarillo","Verde menta","Purpura","Salmon"))</f>
        <v/>
      </c>
      <c r="D28" s="3"/>
      <c r="E28" s="29"/>
      <c r="F28" s="29"/>
      <c r="G28" s="3"/>
    </row>
    <row r="29" customFormat="false" ht="15" hidden="false" customHeight="false" outlineLevel="0" collapsed="false">
      <c r="A29" s="3"/>
      <c r="B29" s="3"/>
      <c r="C29" s="10" t="str">
        <f aca="false">IF(B29="","",CHOOSE(B29,"Rojo","Turquesa","Amarillo","Verde menta","Purpura","Salmon"))</f>
        <v/>
      </c>
      <c r="D29" s="3"/>
      <c r="E29" s="29"/>
      <c r="F29" s="29"/>
      <c r="G29" s="3"/>
    </row>
    <row r="30" customFormat="false" ht="15" hidden="false" customHeight="false" outlineLevel="0" collapsed="false">
      <c r="A30" s="3"/>
      <c r="B30" s="3"/>
      <c r="C30" s="10" t="str">
        <f aca="false">IF(B30="","",CHOOSE(B30,"Rojo","Turquesa","Amarillo","Verde menta","Purpura","Salmon"))</f>
        <v/>
      </c>
      <c r="D30" s="3"/>
      <c r="E30" s="29"/>
      <c r="F30" s="29"/>
      <c r="G30" s="3"/>
    </row>
    <row r="31" customFormat="false" ht="15" hidden="false" customHeight="false" outlineLevel="0" collapsed="false">
      <c r="A31" s="3"/>
      <c r="B31" s="3"/>
      <c r="C31" s="10" t="str">
        <f aca="false">IF(B31="","",CHOOSE(B31,"Rojo","Turquesa","Amarillo","Verde menta","Purpura","Salmon"))</f>
        <v/>
      </c>
      <c r="D31" s="3"/>
      <c r="E31" s="29"/>
      <c r="F31" s="29"/>
      <c r="G31" s="3"/>
    </row>
    <row r="32" customFormat="false" ht="15" hidden="false" customHeight="false" outlineLevel="0" collapsed="false">
      <c r="A32" s="3"/>
      <c r="B32" s="3"/>
      <c r="C32" s="10" t="str">
        <f aca="false">IF(B32="","",CHOOSE(B32,"Rojo","Turquesa","Amarillo","Verde menta","Purpura","Salmon"))</f>
        <v/>
      </c>
      <c r="D32" s="3"/>
      <c r="E32" s="29"/>
      <c r="F32" s="29"/>
      <c r="G32" s="3"/>
    </row>
    <row r="33" customFormat="false" ht="15" hidden="false" customHeight="false" outlineLevel="0" collapsed="false">
      <c r="A33" s="3"/>
      <c r="B33" s="3"/>
      <c r="C33" s="10" t="str">
        <f aca="false">IF(B33="","",CHOOSE(B33,"Rojo","Turquesa","Amarillo","Verde menta","Purpura","Salmon"))</f>
        <v/>
      </c>
      <c r="D33" s="3"/>
      <c r="E33" s="29"/>
      <c r="F33" s="29"/>
      <c r="G33" s="3"/>
    </row>
    <row r="34" customFormat="false" ht="15" hidden="false" customHeight="false" outlineLevel="0" collapsed="false">
      <c r="A34" s="3"/>
      <c r="B34" s="3"/>
      <c r="C34" s="10" t="str">
        <f aca="false">IF(B34="","",CHOOSE(B34,"Rojo","Turquesa","Amarillo","Verde menta","Purpura","Salmon"))</f>
        <v/>
      </c>
      <c r="D34" s="3"/>
      <c r="E34" s="29"/>
      <c r="F34" s="29"/>
      <c r="G34" s="3"/>
    </row>
    <row r="35" customFormat="false" ht="15" hidden="false" customHeight="false" outlineLevel="0" collapsed="false">
      <c r="A35" s="3"/>
      <c r="B35" s="3"/>
      <c r="C35" s="10" t="str">
        <f aca="false">IF(B35="","",CHOOSE(B35,"Rojo","Turquesa","Amarillo","Verde menta","Purpura","Salmon"))</f>
        <v/>
      </c>
      <c r="D35" s="3"/>
      <c r="E35" s="29"/>
      <c r="F35" s="29"/>
      <c r="G35" s="3"/>
    </row>
    <row r="36" customFormat="false" ht="15" hidden="false" customHeight="false" outlineLevel="0" collapsed="false">
      <c r="A36" s="3"/>
      <c r="B36" s="3"/>
      <c r="C36" s="10" t="str">
        <f aca="false">IF(B36="","",CHOOSE(B36,"Rojo","Turquesa","Amarillo","Verde menta","Purpura","Salmon"))</f>
        <v/>
      </c>
      <c r="D36" s="3"/>
      <c r="E36" s="29"/>
      <c r="F36" s="29"/>
      <c r="G36" s="3"/>
    </row>
    <row r="37" customFormat="false" ht="15" hidden="false" customHeight="false" outlineLevel="0" collapsed="false">
      <c r="A37" s="3"/>
      <c r="B37" s="3"/>
      <c r="C37" s="10" t="str">
        <f aca="false">IF(B37="","",CHOOSE(B37,"Rojo","Turquesa","Amarillo","Verde menta","Purpura","Salmon"))</f>
        <v/>
      </c>
      <c r="D37" s="3"/>
      <c r="E37" s="29"/>
      <c r="F37" s="29"/>
      <c r="G37" s="3"/>
    </row>
    <row r="38" customFormat="false" ht="15" hidden="false" customHeight="false" outlineLevel="0" collapsed="false">
      <c r="A38" s="3"/>
      <c r="B38" s="3"/>
      <c r="C38" s="10" t="str">
        <f aca="false">IF(B38="","",CHOOSE(B38,"Rojo","Turquesa","Amarillo","Verde menta","Purpura","Salmon"))</f>
        <v/>
      </c>
      <c r="D38" s="3"/>
      <c r="E38" s="29"/>
      <c r="F38" s="29"/>
      <c r="G38" s="3"/>
    </row>
    <row r="39" customFormat="false" ht="15" hidden="false" customHeight="false" outlineLevel="0" collapsed="false">
      <c r="A39" s="3"/>
      <c r="B39" s="3"/>
      <c r="C39" s="10" t="str">
        <f aca="false">IF(B39="","",CHOOSE(B39,"Rojo","Turquesa","Amarillo","Verde menta","Purpura","Salmon"))</f>
        <v/>
      </c>
      <c r="D39" s="3"/>
      <c r="E39" s="29"/>
      <c r="F39" s="29"/>
      <c r="G39" s="3"/>
    </row>
    <row r="40" customFormat="false" ht="15" hidden="false" customHeight="false" outlineLevel="0" collapsed="false">
      <c r="A40" s="3"/>
      <c r="B40" s="3"/>
      <c r="C40" s="10" t="str">
        <f aca="false">IF(B40="","",CHOOSE(B40,"Rojo","Turquesa","Amarillo","Verde menta","Purpura","Salmon"))</f>
        <v/>
      </c>
      <c r="D40" s="3"/>
      <c r="E40" s="29"/>
      <c r="F40" s="29"/>
      <c r="G40" s="3"/>
    </row>
    <row r="41" customFormat="false" ht="15" hidden="false" customHeight="false" outlineLevel="0" collapsed="false">
      <c r="A41" s="3"/>
      <c r="B41" s="3"/>
      <c r="C41" s="10" t="str">
        <f aca="false">IF(B41="","",CHOOSE(B41,"Rojo","Turquesa","Amarillo","Verde menta","Purpura","Salmon"))</f>
        <v/>
      </c>
      <c r="D41" s="3"/>
      <c r="E41" s="29"/>
      <c r="F41" s="29"/>
      <c r="G41" s="3"/>
    </row>
    <row r="42" customFormat="false" ht="15" hidden="false" customHeight="false" outlineLevel="0" collapsed="false">
      <c r="A42" s="3"/>
      <c r="B42" s="3"/>
      <c r="C42" s="10" t="str">
        <f aca="false">IF(B42="","",CHOOSE(B42,"Rojo","Turquesa","Amarillo","Verde menta","Purpura","Salmon"))</f>
        <v/>
      </c>
      <c r="D42" s="3"/>
      <c r="E42" s="29"/>
      <c r="F42" s="29"/>
      <c r="G42" s="3"/>
    </row>
    <row r="43" customFormat="false" ht="15" hidden="false" customHeight="false" outlineLevel="0" collapsed="false">
      <c r="A43" s="3"/>
      <c r="B43" s="3"/>
      <c r="C43" s="10" t="str">
        <f aca="false">IF(B43="","",CHOOSE(B43,"Rojo","Turquesa","Amarillo","Verde menta","Purpura","Salmon"))</f>
        <v/>
      </c>
      <c r="D43" s="3"/>
      <c r="E43" s="29"/>
      <c r="F43" s="29"/>
      <c r="G43" s="3"/>
    </row>
    <row r="44" customFormat="false" ht="15" hidden="false" customHeight="false" outlineLevel="0" collapsed="false">
      <c r="A44" s="3"/>
      <c r="B44" s="3"/>
      <c r="C44" s="10" t="str">
        <f aca="false">IF(B44="","",CHOOSE(B44,"Rojo","Turquesa","Amarillo","Verde menta","Purpura","Salmon"))</f>
        <v/>
      </c>
      <c r="D44" s="3"/>
      <c r="E44" s="29"/>
      <c r="F44" s="29"/>
      <c r="G44" s="3"/>
    </row>
    <row r="45" customFormat="false" ht="15" hidden="false" customHeight="false" outlineLevel="0" collapsed="false">
      <c r="A45" s="3"/>
      <c r="B45" s="3"/>
      <c r="C45" s="10" t="str">
        <f aca="false">IF(B45="","",CHOOSE(B45,"Rojo","Turquesa","Amarillo","Verde menta","Purpura","Salmon"))</f>
        <v/>
      </c>
      <c r="D45" s="3"/>
      <c r="E45" s="29"/>
      <c r="F45" s="29"/>
      <c r="G45" s="3"/>
    </row>
    <row r="46" customFormat="false" ht="15" hidden="false" customHeight="false" outlineLevel="0" collapsed="false">
      <c r="A46" s="3"/>
      <c r="B46" s="3"/>
      <c r="C46" s="10" t="str">
        <f aca="false">IF(B46="","",CHOOSE(B46,"Rojo","Turquesa","Amarillo","Verde menta","Purpura","Salmon"))</f>
        <v/>
      </c>
      <c r="D46" s="3"/>
      <c r="E46" s="29"/>
      <c r="F46" s="29"/>
      <c r="G46" s="3"/>
    </row>
    <row r="47" customFormat="false" ht="15" hidden="false" customHeight="false" outlineLevel="0" collapsed="false">
      <c r="A47" s="3"/>
      <c r="B47" s="3"/>
      <c r="C47" s="10" t="str">
        <f aca="false">IF(B47="","",CHOOSE(B47,"Rojo","Turquesa","Amarillo","Verde menta","Purpura","Salmon"))</f>
        <v/>
      </c>
      <c r="D47" s="3"/>
      <c r="E47" s="29"/>
      <c r="F47" s="29"/>
      <c r="G47" s="3"/>
    </row>
    <row r="48" customFormat="false" ht="15" hidden="false" customHeight="false" outlineLevel="0" collapsed="false">
      <c r="A48" s="3"/>
      <c r="B48" s="3"/>
      <c r="C48" s="10" t="str">
        <f aca="false">IF(B48="","",CHOOSE(B48,"Rojo","Turquesa","Amarillo","Verde menta","Purpura","Salmon"))</f>
        <v/>
      </c>
      <c r="D48" s="3"/>
      <c r="E48" s="29"/>
      <c r="F48" s="29"/>
      <c r="G48" s="3"/>
    </row>
    <row r="49" customFormat="false" ht="15" hidden="false" customHeight="false" outlineLevel="0" collapsed="false">
      <c r="A49" s="3"/>
      <c r="B49" s="3"/>
      <c r="C49" s="10" t="str">
        <f aca="false">IF(B49="","",CHOOSE(B49,"Rojo","Turquesa","Amarillo","Verde menta","Purpura","Salmon"))</f>
        <v/>
      </c>
      <c r="D49" s="3"/>
      <c r="E49" s="29"/>
      <c r="F49" s="29"/>
      <c r="G49" s="3"/>
    </row>
    <row r="50" customFormat="false" ht="15" hidden="false" customHeight="false" outlineLevel="0" collapsed="false">
      <c r="A50" s="3"/>
      <c r="B50" s="3"/>
      <c r="C50" s="10" t="str">
        <f aca="false">IF(B50="","",CHOOSE(B50,"Rojo","Turquesa","Amarillo","Verde menta","Purpura","Salmon"))</f>
        <v/>
      </c>
      <c r="D50" s="3"/>
      <c r="E50" s="29"/>
      <c r="F50" s="29"/>
      <c r="G50" s="3"/>
    </row>
    <row r="51" customFormat="false" ht="15" hidden="false" customHeight="false" outlineLevel="0" collapsed="false">
      <c r="A51" s="3"/>
      <c r="B51" s="3"/>
      <c r="C51" s="10" t="str">
        <f aca="false">IF(B51="","",CHOOSE(B51,"Rojo","Turquesa","Amarillo","Verde menta","Purpura","Salmon"))</f>
        <v/>
      </c>
      <c r="D51" s="3"/>
      <c r="E51" s="29"/>
      <c r="F51" s="29"/>
      <c r="G51" s="3"/>
    </row>
    <row r="52" customFormat="false" ht="15" hidden="false" customHeight="false" outlineLevel="0" collapsed="false">
      <c r="A52" s="3"/>
      <c r="B52" s="3"/>
      <c r="C52" s="10" t="str">
        <f aca="false">IF(B52="","",CHOOSE(B52,"Rojo","Turquesa","Amarillo","Verde menta","Purpura","Salmon"))</f>
        <v/>
      </c>
      <c r="D52" s="3"/>
      <c r="E52" s="29"/>
      <c r="F52" s="29"/>
      <c r="G52" s="3"/>
    </row>
    <row r="53" customFormat="false" ht="15" hidden="false" customHeight="false" outlineLevel="0" collapsed="false">
      <c r="A53" s="3"/>
      <c r="B53" s="3"/>
      <c r="C53" s="10" t="str">
        <f aca="false">IF(B53="","",CHOOSE(B53,"Rojo","Turquesa","Amarillo","Verde menta","Purpura","Salmon"))</f>
        <v/>
      </c>
      <c r="D53" s="3"/>
      <c r="E53" s="29"/>
      <c r="F53" s="29"/>
      <c r="G53" s="3"/>
    </row>
    <row r="54" customFormat="false" ht="15" hidden="false" customHeight="false" outlineLevel="0" collapsed="false">
      <c r="A54" s="3"/>
      <c r="B54" s="3"/>
      <c r="C54" s="10" t="str">
        <f aca="false">IF(B54="","",CHOOSE(B54,"Rojo","Turquesa","Amarillo","Verde menta","Purpura","Salmon"))</f>
        <v/>
      </c>
      <c r="D54" s="3"/>
      <c r="E54" s="29"/>
      <c r="F54" s="29"/>
      <c r="G54" s="3"/>
    </row>
    <row r="55" customFormat="false" ht="15" hidden="false" customHeight="false" outlineLevel="0" collapsed="false">
      <c r="A55" s="3"/>
      <c r="B55" s="3"/>
      <c r="C55" s="10" t="str">
        <f aca="false">IF(B55="","",CHOOSE(B55,"Rojo","Turquesa","Amarillo","Verde menta","Purpura","Salmon"))</f>
        <v/>
      </c>
      <c r="D55" s="3"/>
      <c r="E55" s="29"/>
      <c r="F55" s="29"/>
      <c r="G55" s="3"/>
    </row>
    <row r="56" customFormat="false" ht="15" hidden="false" customHeight="false" outlineLevel="0" collapsed="false">
      <c r="A56" s="3"/>
      <c r="B56" s="3"/>
      <c r="C56" s="10" t="str">
        <f aca="false">IF(B56="","",CHOOSE(B56,"Rojo","Turquesa","Amarillo","Verde menta","Purpura","Salmon"))</f>
        <v/>
      </c>
      <c r="D56" s="3"/>
      <c r="E56" s="29"/>
      <c r="F56" s="29"/>
      <c r="G56" s="3"/>
    </row>
    <row r="57" customFormat="false" ht="15" hidden="false" customHeight="false" outlineLevel="0" collapsed="false">
      <c r="A57" s="3"/>
      <c r="B57" s="3"/>
      <c r="C57" s="10" t="str">
        <f aca="false">IF(B57="","",CHOOSE(B57,"Rojo","Turquesa","Amarillo","Verde menta","Purpura","Salmon"))</f>
        <v/>
      </c>
      <c r="D57" s="3"/>
      <c r="E57" s="29"/>
      <c r="F57" s="29"/>
      <c r="G57" s="3"/>
    </row>
    <row r="58" customFormat="false" ht="15" hidden="false" customHeight="false" outlineLevel="0" collapsed="false">
      <c r="A58" s="3"/>
      <c r="B58" s="3"/>
      <c r="C58" s="10" t="str">
        <f aca="false">IF(B58="","",CHOOSE(B58,"Rojo","Turquesa","Amarillo","Verde menta","Purpura","Salmon"))</f>
        <v/>
      </c>
      <c r="D58" s="3"/>
      <c r="E58" s="29"/>
      <c r="F58" s="29"/>
      <c r="G58" s="3"/>
    </row>
    <row r="59" customFormat="false" ht="15" hidden="false" customHeight="false" outlineLevel="0" collapsed="false">
      <c r="A59" s="3"/>
      <c r="B59" s="3"/>
      <c r="C59" s="10" t="str">
        <f aca="false">IF(B59="","",CHOOSE(B59,"Rojo","Turquesa","Amarillo","Verde menta","Purpura","Salmon"))</f>
        <v/>
      </c>
      <c r="D59" s="3"/>
      <c r="E59" s="29"/>
      <c r="F59" s="29"/>
      <c r="G59" s="3"/>
    </row>
    <row r="60" customFormat="false" ht="15" hidden="false" customHeight="false" outlineLevel="0" collapsed="false">
      <c r="A60" s="3"/>
      <c r="B60" s="3"/>
      <c r="C60" s="10" t="str">
        <f aca="false">IF(B60="","",CHOOSE(B60,"Rojo","Turquesa","Amarillo","Verde menta","Purpura","Salmon"))</f>
        <v/>
      </c>
      <c r="D60" s="3"/>
      <c r="E60" s="29"/>
      <c r="F60" s="29"/>
      <c r="G60" s="3"/>
    </row>
    <row r="61" customFormat="false" ht="15" hidden="false" customHeight="false" outlineLevel="0" collapsed="false">
      <c r="A61" s="3"/>
      <c r="B61" s="3"/>
      <c r="C61" s="10" t="str">
        <f aca="false">IF(B61="","",CHOOSE(B61,"Rojo","Turquesa","Amarillo","Verde menta","Purpura","Salmon"))</f>
        <v/>
      </c>
      <c r="D61" s="3"/>
      <c r="E61" s="29"/>
      <c r="F61" s="29"/>
      <c r="G61" s="3"/>
    </row>
    <row r="62" customFormat="false" ht="15" hidden="false" customHeight="false" outlineLevel="0" collapsed="false">
      <c r="A62" s="3"/>
      <c r="B62" s="3"/>
      <c r="C62" s="10" t="str">
        <f aca="false">IF(B62="","",CHOOSE(B62,"Rojo","Turquesa","Amarillo","Verde menta","Purpura","Salmon"))</f>
        <v/>
      </c>
      <c r="D62" s="3"/>
      <c r="E62" s="29"/>
      <c r="F62" s="29"/>
      <c r="G62" s="3"/>
    </row>
    <row r="63" customFormat="false" ht="15" hidden="false" customHeight="false" outlineLevel="0" collapsed="false">
      <c r="A63" s="3"/>
      <c r="B63" s="3"/>
      <c r="C63" s="10" t="str">
        <f aca="false">IF(B63="","",CHOOSE(B63,"Rojo","Turquesa","Amarillo","Verde menta","Purpura","Salmon"))</f>
        <v/>
      </c>
      <c r="D63" s="3"/>
      <c r="E63" s="29"/>
      <c r="F63" s="29"/>
      <c r="G63" s="3"/>
    </row>
    <row r="64" customFormat="false" ht="15" hidden="false" customHeight="false" outlineLevel="0" collapsed="false">
      <c r="A64" s="3"/>
      <c r="B64" s="3"/>
      <c r="C64" s="10" t="str">
        <f aca="false">IF(B64="","",CHOOSE(B64,"Rojo","Turquesa","Amarillo","Verde menta","Purpura","Salmon"))</f>
        <v/>
      </c>
      <c r="D64" s="3"/>
      <c r="E64" s="29"/>
      <c r="F64" s="29"/>
      <c r="G64" s="3"/>
    </row>
    <row r="65" customFormat="false" ht="15" hidden="false" customHeight="false" outlineLevel="0" collapsed="false">
      <c r="A65" s="3"/>
      <c r="B65" s="3"/>
      <c r="C65" s="10" t="str">
        <f aca="false">IF(B65="","",CHOOSE(B65,"Rojo","Turquesa","Amarillo","Verde menta","Purpura","Salmon"))</f>
        <v/>
      </c>
      <c r="D65" s="3"/>
      <c r="E65" s="29"/>
      <c r="F65" s="29"/>
      <c r="G65" s="3"/>
    </row>
    <row r="66" customFormat="false" ht="15" hidden="false" customHeight="false" outlineLevel="0" collapsed="false">
      <c r="A66" s="3"/>
      <c r="B66" s="3"/>
      <c r="C66" s="10" t="str">
        <f aca="false">IF(B66="","",CHOOSE(B66,"Rojo","Turquesa","Amarillo","Verde menta","Purpura","Salmon"))</f>
        <v/>
      </c>
      <c r="D66" s="3"/>
      <c r="E66" s="29"/>
      <c r="F66" s="29"/>
      <c r="G66" s="3"/>
    </row>
    <row r="67" customFormat="false" ht="15" hidden="false" customHeight="false" outlineLevel="0" collapsed="false">
      <c r="A67" s="3"/>
      <c r="B67" s="3"/>
      <c r="C67" s="10" t="str">
        <f aca="false">IF(B67="","",CHOOSE(B67,"Rojo","Turquesa","Amarillo","Verde menta","Purpura","Salmon"))</f>
        <v/>
      </c>
      <c r="D67" s="3"/>
      <c r="E67" s="29"/>
      <c r="F67" s="29"/>
      <c r="G67" s="3"/>
    </row>
    <row r="68" customFormat="false" ht="15" hidden="false" customHeight="false" outlineLevel="0" collapsed="false">
      <c r="A68" s="3"/>
      <c r="B68" s="3"/>
      <c r="C68" s="10" t="str">
        <f aca="false">IF(B68="","",CHOOSE(B68,"Rojo","Turquesa","Amarillo","Verde menta","Purpura","Salmon"))</f>
        <v/>
      </c>
      <c r="D68" s="3"/>
      <c r="E68" s="29"/>
      <c r="F68" s="29"/>
      <c r="G68" s="3"/>
    </row>
    <row r="69" customFormat="false" ht="15" hidden="false" customHeight="false" outlineLevel="0" collapsed="false">
      <c r="A69" s="3"/>
      <c r="B69" s="3"/>
      <c r="C69" s="10" t="str">
        <f aca="false">IF(B69="","",CHOOSE(B69,"Rojo","Turquesa","Amarillo","Verde menta","Purpura","Salmon"))</f>
        <v/>
      </c>
      <c r="D69" s="3"/>
      <c r="E69" s="29"/>
      <c r="F69" s="29"/>
      <c r="G69" s="3"/>
    </row>
    <row r="70" customFormat="false" ht="15" hidden="false" customHeight="false" outlineLevel="0" collapsed="false">
      <c r="A70" s="3"/>
      <c r="B70" s="3"/>
      <c r="C70" s="10" t="str">
        <f aca="false">IF(B70="","",CHOOSE(B70,"Rojo","Turquesa","Amarillo","Verde menta","Purpura","Salmon"))</f>
        <v/>
      </c>
      <c r="D70" s="3"/>
      <c r="E70" s="29"/>
      <c r="F70" s="29"/>
      <c r="G70" s="3"/>
    </row>
    <row r="71" customFormat="false" ht="15" hidden="false" customHeight="false" outlineLevel="0" collapsed="false">
      <c r="A71" s="3"/>
      <c r="B71" s="3"/>
      <c r="C71" s="10" t="str">
        <f aca="false">IF(B71="","",CHOOSE(B71,"Rojo","Turquesa","Amarillo","Verde menta","Purpura","Salmon"))</f>
        <v/>
      </c>
      <c r="D71" s="3"/>
      <c r="E71" s="29"/>
      <c r="F71" s="29"/>
      <c r="G71" s="3"/>
    </row>
    <row r="72" customFormat="false" ht="15" hidden="false" customHeight="false" outlineLevel="0" collapsed="false">
      <c r="A72" s="3"/>
      <c r="B72" s="3"/>
      <c r="C72" s="10" t="str">
        <f aca="false">IF(B72="","",CHOOSE(B72,"Rojo","Turquesa","Amarillo","Verde menta","Purpura","Salmon"))</f>
        <v/>
      </c>
      <c r="D72" s="3"/>
      <c r="E72" s="29"/>
      <c r="F72" s="29"/>
      <c r="G72" s="3"/>
    </row>
    <row r="73" customFormat="false" ht="15" hidden="false" customHeight="false" outlineLevel="0" collapsed="false">
      <c r="A73" s="3"/>
      <c r="B73" s="3"/>
      <c r="C73" s="10" t="str">
        <f aca="false">IF(B73="","",CHOOSE(B73,"Rojo","Turquesa","Amarillo","Verde menta","Purpura","Salmon"))</f>
        <v/>
      </c>
      <c r="D73" s="3"/>
      <c r="E73" s="29"/>
      <c r="F73" s="29"/>
      <c r="G73" s="3"/>
    </row>
    <row r="74" customFormat="false" ht="15" hidden="false" customHeight="false" outlineLevel="0" collapsed="false">
      <c r="A74" s="3"/>
      <c r="B74" s="3"/>
      <c r="C74" s="10" t="str">
        <f aca="false">IF(B74="","",CHOOSE(B74,"Rojo","Turquesa","Amarillo","Verde menta","Purpura","Salmon"))</f>
        <v/>
      </c>
      <c r="D74" s="3"/>
      <c r="E74" s="29"/>
      <c r="F74" s="29"/>
      <c r="G74" s="3"/>
    </row>
    <row r="75" customFormat="false" ht="15" hidden="false" customHeight="false" outlineLevel="0" collapsed="false">
      <c r="A75" s="3"/>
      <c r="B75" s="3"/>
      <c r="C75" s="10" t="str">
        <f aca="false">IF(B75="","",CHOOSE(B75,"Rojo","Turquesa","Amarillo","Verde menta","Purpura","Salmon"))</f>
        <v/>
      </c>
      <c r="D75" s="3"/>
      <c r="E75" s="29"/>
      <c r="F75" s="29"/>
      <c r="G75" s="3"/>
    </row>
    <row r="76" customFormat="false" ht="15" hidden="false" customHeight="false" outlineLevel="0" collapsed="false">
      <c r="A76" s="3"/>
      <c r="B76" s="3"/>
      <c r="C76" s="10" t="str">
        <f aca="false">IF(B76="","",CHOOSE(B76,"Rojo","Turquesa","Amarillo","Verde menta","Purpura","Salmon"))</f>
        <v/>
      </c>
      <c r="D76" s="3"/>
      <c r="E76" s="29"/>
      <c r="F76" s="29"/>
      <c r="G76" s="3"/>
    </row>
    <row r="77" customFormat="false" ht="15" hidden="false" customHeight="false" outlineLevel="0" collapsed="false">
      <c r="A77" s="3"/>
      <c r="B77" s="3"/>
      <c r="C77" s="10" t="str">
        <f aca="false">IF(B77="","",CHOOSE(B77,"Rojo","Turquesa","Amarillo","Verde menta","Purpura","Salmon"))</f>
        <v/>
      </c>
      <c r="D77" s="3"/>
      <c r="E77" s="29"/>
      <c r="F77" s="29"/>
      <c r="G77" s="3"/>
    </row>
    <row r="78" customFormat="false" ht="15" hidden="false" customHeight="false" outlineLevel="0" collapsed="false">
      <c r="A78" s="3"/>
      <c r="B78" s="3"/>
      <c r="C78" s="10" t="str">
        <f aca="false">IF(B78="","",CHOOSE(B78,"Rojo","Turquesa","Amarillo","Verde menta","Purpura","Salmon"))</f>
        <v/>
      </c>
      <c r="D78" s="3"/>
      <c r="E78" s="29"/>
      <c r="F78" s="29"/>
      <c r="G78" s="3"/>
    </row>
    <row r="79" customFormat="false" ht="15" hidden="false" customHeight="false" outlineLevel="0" collapsed="false">
      <c r="A79" s="3"/>
      <c r="B79" s="3"/>
      <c r="C79" s="10" t="str">
        <f aca="false">IF(B79="","",CHOOSE(B79,"Rojo","Turquesa","Amarillo","Verde menta","Purpura","Salmon"))</f>
        <v/>
      </c>
      <c r="D79" s="3"/>
      <c r="E79" s="29"/>
      <c r="F79" s="29"/>
      <c r="G79" s="3"/>
    </row>
    <row r="80" customFormat="false" ht="15" hidden="false" customHeight="false" outlineLevel="0" collapsed="false">
      <c r="A80" s="3"/>
      <c r="B80" s="3"/>
      <c r="C80" s="10" t="str">
        <f aca="false">IF(B80="","",CHOOSE(B80,"Rojo","Turquesa","Amarillo","Verde menta","Purpura","Salmon"))</f>
        <v/>
      </c>
      <c r="D80" s="3"/>
      <c r="E80" s="29"/>
      <c r="F80" s="29"/>
      <c r="G80" s="3"/>
    </row>
    <row r="81" customFormat="false" ht="15" hidden="false" customHeight="false" outlineLevel="0" collapsed="false">
      <c r="A81" s="3"/>
      <c r="B81" s="3"/>
      <c r="C81" s="10" t="str">
        <f aca="false">IF(B81="","",CHOOSE(B81,"Rojo","Turquesa","Amarillo","Verde menta","Purpura","Salmon"))</f>
        <v/>
      </c>
      <c r="D81" s="3"/>
      <c r="E81" s="29"/>
      <c r="F81" s="29"/>
      <c r="G81" s="3"/>
    </row>
    <row r="82" customFormat="false" ht="15" hidden="false" customHeight="false" outlineLevel="0" collapsed="false">
      <c r="A82" s="3"/>
      <c r="B82" s="3"/>
      <c r="C82" s="10" t="str">
        <f aca="false">IF(B82="","",CHOOSE(B82,"Rojo","Turquesa","Amarillo","Verde menta","Purpura","Salmon"))</f>
        <v/>
      </c>
      <c r="D82" s="3"/>
      <c r="E82" s="29"/>
      <c r="F82" s="29"/>
      <c r="G82" s="3"/>
    </row>
    <row r="83" customFormat="false" ht="15" hidden="false" customHeight="false" outlineLevel="0" collapsed="false">
      <c r="A83" s="3"/>
      <c r="B83" s="3"/>
      <c r="C83" s="10" t="str">
        <f aca="false">IF(B83="","",CHOOSE(B83,"Rojo","Turquesa","Amarillo","Verde menta","Purpura","Salmon"))</f>
        <v/>
      </c>
      <c r="D83" s="3"/>
      <c r="E83" s="29"/>
      <c r="F83" s="29"/>
      <c r="G83" s="3"/>
    </row>
    <row r="84" customFormat="false" ht="15" hidden="false" customHeight="false" outlineLevel="0" collapsed="false">
      <c r="A84" s="3"/>
      <c r="B84" s="3"/>
      <c r="C84" s="10" t="str">
        <f aca="false">IF(B84="","",CHOOSE(B84,"Rojo","Turquesa","Amarillo","Verde menta","Purpura","Salmon"))</f>
        <v/>
      </c>
      <c r="D84" s="3"/>
      <c r="E84" s="29"/>
      <c r="F84" s="29"/>
      <c r="G84" s="3"/>
    </row>
    <row r="85" customFormat="false" ht="15" hidden="false" customHeight="false" outlineLevel="0" collapsed="false">
      <c r="A85" s="3"/>
      <c r="B85" s="3"/>
      <c r="C85" s="10" t="str">
        <f aca="false">IF(B85="","",CHOOSE(B85,"Rojo","Turquesa","Amarillo","Verde menta","Purpura","Salmon"))</f>
        <v/>
      </c>
      <c r="D85" s="3"/>
      <c r="E85" s="29"/>
      <c r="F85" s="29"/>
      <c r="G85" s="3"/>
    </row>
    <row r="86" customFormat="false" ht="15" hidden="false" customHeight="false" outlineLevel="0" collapsed="false">
      <c r="A86" s="3"/>
      <c r="B86" s="3"/>
      <c r="C86" s="10" t="str">
        <f aca="false">IF(B86="","",CHOOSE(B86,"Rojo","Turquesa","Amarillo","Verde menta","Purpura","Salmon"))</f>
        <v/>
      </c>
      <c r="D86" s="3"/>
      <c r="E86" s="29"/>
      <c r="F86" s="29"/>
      <c r="G86" s="3"/>
    </row>
    <row r="87" customFormat="false" ht="15" hidden="false" customHeight="false" outlineLevel="0" collapsed="false">
      <c r="A87" s="3"/>
      <c r="B87" s="3"/>
      <c r="C87" s="10" t="str">
        <f aca="false">IF(B87="","",CHOOSE(B87,"Rojo","Turquesa","Amarillo","Verde menta","Purpura","Salmon"))</f>
        <v/>
      </c>
      <c r="D87" s="3"/>
      <c r="E87" s="29"/>
      <c r="F87" s="29"/>
      <c r="G87" s="3"/>
    </row>
    <row r="88" customFormat="false" ht="15" hidden="false" customHeight="false" outlineLevel="0" collapsed="false">
      <c r="A88" s="3"/>
      <c r="B88" s="3"/>
      <c r="C88" s="10" t="str">
        <f aca="false">IF(B88="","",CHOOSE(B88,"Rojo","Turquesa","Amarillo","Verde menta","Purpura","Salmon"))</f>
        <v/>
      </c>
      <c r="D88" s="3"/>
      <c r="E88" s="29"/>
      <c r="F88" s="29"/>
      <c r="G88" s="3"/>
    </row>
    <row r="89" customFormat="false" ht="15" hidden="false" customHeight="false" outlineLevel="0" collapsed="false">
      <c r="A89" s="3"/>
      <c r="B89" s="3"/>
      <c r="C89" s="10" t="str">
        <f aca="false">IF(B89="","",CHOOSE(B89,"Rojo","Turquesa","Amarillo","Verde menta","Purpura","Salmon"))</f>
        <v/>
      </c>
      <c r="D89" s="3"/>
      <c r="E89" s="29"/>
      <c r="F89" s="29"/>
      <c r="G89" s="3"/>
    </row>
    <row r="90" customFormat="false" ht="15" hidden="false" customHeight="false" outlineLevel="0" collapsed="false">
      <c r="A90" s="3"/>
      <c r="B90" s="3"/>
      <c r="C90" s="10" t="str">
        <f aca="false">IF(B90="","",CHOOSE(B90,"Rojo","Turquesa","Amarillo","Verde menta","Purpura","Salmon"))</f>
        <v/>
      </c>
      <c r="D90" s="3"/>
      <c r="E90" s="29"/>
      <c r="F90" s="29"/>
      <c r="G90" s="3"/>
    </row>
    <row r="91" customFormat="false" ht="15" hidden="false" customHeight="false" outlineLevel="0" collapsed="false">
      <c r="A91" s="3"/>
      <c r="B91" s="3"/>
      <c r="C91" s="10" t="str">
        <f aca="false">IF(B91="","",CHOOSE(B91,"Rojo","Turquesa","Amarillo","Verde menta","Purpura","Salmon"))</f>
        <v/>
      </c>
      <c r="D91" s="3"/>
      <c r="E91" s="29"/>
      <c r="F91" s="29"/>
      <c r="G91" s="3"/>
    </row>
    <row r="92" customFormat="false" ht="15" hidden="false" customHeight="false" outlineLevel="0" collapsed="false">
      <c r="A92" s="3"/>
      <c r="B92" s="3"/>
      <c r="C92" s="10" t="str">
        <f aca="false">IF(B92="","",CHOOSE(B92,"Rojo","Turquesa","Amarillo","Verde menta","Purpura","Salmon"))</f>
        <v/>
      </c>
      <c r="D92" s="3"/>
      <c r="E92" s="29"/>
      <c r="F92" s="29"/>
      <c r="G92" s="3"/>
    </row>
    <row r="93" customFormat="false" ht="15" hidden="false" customHeight="false" outlineLevel="0" collapsed="false">
      <c r="A93" s="3"/>
      <c r="B93" s="3"/>
      <c r="C93" s="10" t="str">
        <f aca="false">IF(B93="","",CHOOSE(B93,"Rojo","Turquesa","Amarillo","Verde menta","Purpura","Salmon"))</f>
        <v/>
      </c>
      <c r="D93" s="3"/>
      <c r="E93" s="29"/>
      <c r="F93" s="29"/>
      <c r="G93" s="3"/>
    </row>
    <row r="94" customFormat="false" ht="15" hidden="false" customHeight="false" outlineLevel="0" collapsed="false">
      <c r="A94" s="3"/>
      <c r="B94" s="3"/>
      <c r="C94" s="10" t="str">
        <f aca="false">IF(B94="","",CHOOSE(B94,"Rojo","Turquesa","Amarillo","Verde menta","Purpura","Salmon"))</f>
        <v/>
      </c>
      <c r="D94" s="3"/>
      <c r="E94" s="29"/>
      <c r="F94" s="29"/>
      <c r="G94" s="3"/>
    </row>
    <row r="95" customFormat="false" ht="15" hidden="false" customHeight="false" outlineLevel="0" collapsed="false">
      <c r="A95" s="3"/>
      <c r="B95" s="3"/>
      <c r="C95" s="10" t="str">
        <f aca="false">IF(B95="","",CHOOSE(B95,"Rojo","Turquesa","Amarillo","Verde menta","Purpura","Salmon"))</f>
        <v/>
      </c>
      <c r="D95" s="3"/>
      <c r="E95" s="29"/>
      <c r="F95" s="29"/>
      <c r="G95" s="3"/>
    </row>
    <row r="96" customFormat="false" ht="15" hidden="false" customHeight="false" outlineLevel="0" collapsed="false">
      <c r="A96" s="3"/>
      <c r="B96" s="3"/>
      <c r="C96" s="10" t="str">
        <f aca="false">IF(B96="","",CHOOSE(B96,"Rojo","Turquesa","Amarillo","Verde menta","Purpura","Salmon"))</f>
        <v/>
      </c>
      <c r="D96" s="3"/>
      <c r="E96" s="29"/>
      <c r="F96" s="29"/>
      <c r="G96" s="3"/>
    </row>
    <row r="97" customFormat="false" ht="15" hidden="false" customHeight="false" outlineLevel="0" collapsed="false">
      <c r="A97" s="3"/>
      <c r="B97" s="3"/>
      <c r="C97" s="10" t="str">
        <f aca="false">IF(B97="","",CHOOSE(B97,"Rojo","Turquesa","Amarillo","Verde menta","Purpura","Salmon"))</f>
        <v/>
      </c>
      <c r="D97" s="3"/>
      <c r="E97" s="29"/>
      <c r="F97" s="29"/>
      <c r="G97" s="3"/>
    </row>
    <row r="98" customFormat="false" ht="15" hidden="false" customHeight="false" outlineLevel="0" collapsed="false">
      <c r="A98" s="3"/>
      <c r="B98" s="3"/>
      <c r="C98" s="10" t="str">
        <f aca="false">IF(B98="","",CHOOSE(B98,"Rojo","Turquesa","Amarillo","Verde menta","Purpura","Salmon"))</f>
        <v/>
      </c>
      <c r="D98" s="3"/>
      <c r="E98" s="29"/>
      <c r="F98" s="29"/>
      <c r="G98" s="3"/>
    </row>
    <row r="99" customFormat="false" ht="15" hidden="false" customHeight="false" outlineLevel="0" collapsed="false">
      <c r="A99" s="3"/>
      <c r="B99" s="3"/>
      <c r="C99" s="10" t="str">
        <f aca="false">IF(B99="","",CHOOSE(B99,"Rojo","Turquesa","Amarillo","Verde menta","Purpura","Salmon"))</f>
        <v/>
      </c>
      <c r="D99" s="3"/>
      <c r="E99" s="29"/>
      <c r="F99" s="29"/>
      <c r="G99" s="3"/>
    </row>
    <row r="100" customFormat="false" ht="15" hidden="false" customHeight="false" outlineLevel="0" collapsed="false">
      <c r="A100" s="3"/>
      <c r="B100" s="3"/>
      <c r="C100" s="10" t="str">
        <f aca="false">IF(B100="","",CHOOSE(B100,"Rojo","Turquesa","Amarillo","Verde menta","Purpura","Salmon"))</f>
        <v/>
      </c>
      <c r="D100" s="3"/>
      <c r="E100" s="29"/>
      <c r="F100" s="29"/>
      <c r="G100" s="3"/>
    </row>
    <row r="101" customFormat="false" ht="15" hidden="false" customHeight="false" outlineLevel="0" collapsed="false">
      <c r="A101" s="3"/>
      <c r="B101" s="3"/>
      <c r="C101" s="10" t="str">
        <f aca="false">IF(B101="","",CHOOSE(B101,"Rojo","Turquesa","Amarillo","Verde menta","Purpura","Salmon"))</f>
        <v/>
      </c>
      <c r="D101" s="3"/>
      <c r="E101" s="29"/>
      <c r="F101" s="29"/>
      <c r="G101" s="3"/>
    </row>
    <row r="102" customFormat="false" ht="15" hidden="false" customHeight="false" outlineLevel="0" collapsed="false">
      <c r="A102" s="3"/>
      <c r="B102" s="3"/>
      <c r="C102" s="10" t="str">
        <f aca="false">IF(B102="","",CHOOSE(B102,"Rojo","Turquesa","Amarillo","Verde menta","Purpura","Salmon"))</f>
        <v/>
      </c>
      <c r="D102" s="3"/>
      <c r="E102" s="29"/>
      <c r="F102" s="29"/>
      <c r="G102" s="3"/>
    </row>
    <row r="103" customFormat="false" ht="15" hidden="false" customHeight="false" outlineLevel="0" collapsed="false">
      <c r="A103" s="3"/>
      <c r="B103" s="3"/>
      <c r="C103" s="10" t="str">
        <f aca="false">IF(B103="","",CHOOSE(B103,"Rojo","Turquesa","Amarillo","Verde menta","Purpura","Salmon"))</f>
        <v/>
      </c>
      <c r="D103" s="3"/>
      <c r="E103" s="29"/>
      <c r="F103" s="29"/>
      <c r="G103" s="3"/>
    </row>
    <row r="104" customFormat="false" ht="15" hidden="false" customHeight="false" outlineLevel="0" collapsed="false">
      <c r="A104" s="3"/>
      <c r="B104" s="3"/>
      <c r="C104" s="10" t="str">
        <f aca="false">IF(B104="","",CHOOSE(B104,"Rojo","Turquesa","Amarillo","Verde menta","Purpura","Salmon"))</f>
        <v/>
      </c>
      <c r="D104" s="3"/>
      <c r="E104" s="29"/>
      <c r="F104" s="29"/>
      <c r="G104" s="3"/>
    </row>
    <row r="105" customFormat="false" ht="15" hidden="false" customHeight="false" outlineLevel="0" collapsed="false">
      <c r="A105" s="3"/>
      <c r="B105" s="3"/>
      <c r="C105" s="10" t="str">
        <f aca="false">IF(B105="","",CHOOSE(B105,"Rojo","Turquesa","Amarillo","Verde menta","Purpura","Salmon"))</f>
        <v/>
      </c>
      <c r="D105" s="3"/>
      <c r="E105" s="29"/>
      <c r="F105" s="29"/>
      <c r="G105" s="3"/>
    </row>
    <row r="106" customFormat="false" ht="15" hidden="false" customHeight="false" outlineLevel="0" collapsed="false">
      <c r="A106" s="3"/>
      <c r="B106" s="3"/>
      <c r="C106" s="10" t="str">
        <f aca="false">IF(B106="","",CHOOSE(B106,"Rojo","Turquesa","Amarillo","Verde menta","Purpura","Salmon"))</f>
        <v/>
      </c>
      <c r="D106" s="3"/>
      <c r="E106" s="29"/>
      <c r="F106" s="29"/>
      <c r="G106" s="3"/>
    </row>
    <row r="107" customFormat="false" ht="15" hidden="false" customHeight="false" outlineLevel="0" collapsed="false">
      <c r="A107" s="3"/>
      <c r="B107" s="3"/>
      <c r="C107" s="10" t="str">
        <f aca="false">IF(B107="","",CHOOSE(B107,"Rojo","Turquesa","Amarillo","Verde menta","Purpura","Salmon"))</f>
        <v/>
      </c>
      <c r="D107" s="3"/>
      <c r="E107" s="29"/>
      <c r="F107" s="29"/>
      <c r="G107" s="3"/>
    </row>
    <row r="108" customFormat="false" ht="15" hidden="false" customHeight="false" outlineLevel="0" collapsed="false">
      <c r="A108" s="3"/>
      <c r="B108" s="3"/>
      <c r="C108" s="10" t="str">
        <f aca="false">IF(B108="","",CHOOSE(B108,"Rojo","Turquesa","Amarillo","Verde menta","Purpura","Salmon"))</f>
        <v/>
      </c>
      <c r="D108" s="3"/>
      <c r="E108" s="29"/>
      <c r="F108" s="29"/>
      <c r="G108" s="3"/>
    </row>
    <row r="109" customFormat="false" ht="15" hidden="false" customHeight="false" outlineLevel="0" collapsed="false">
      <c r="A109" s="3"/>
      <c r="B109" s="3"/>
      <c r="C109" s="10" t="str">
        <f aca="false">IF(B109="","",CHOOSE(B109,"Rojo","Turquesa","Amarillo","Verde menta","Purpura","Salmon"))</f>
        <v/>
      </c>
      <c r="D109" s="3"/>
      <c r="E109" s="29"/>
      <c r="F109" s="29"/>
      <c r="G109" s="3"/>
    </row>
    <row r="110" customFormat="false" ht="15" hidden="false" customHeight="false" outlineLevel="0" collapsed="false">
      <c r="A110" s="3"/>
      <c r="B110" s="3"/>
      <c r="C110" s="10" t="str">
        <f aca="false">IF(B110="","",CHOOSE(B110,"Rojo","Turquesa","Amarillo","Verde menta","Purpura","Salmon"))</f>
        <v/>
      </c>
      <c r="D110" s="3"/>
      <c r="E110" s="29"/>
      <c r="F110" s="29"/>
      <c r="G110" s="3"/>
    </row>
    <row r="111" customFormat="false" ht="15" hidden="false" customHeight="false" outlineLevel="0" collapsed="false">
      <c r="A111" s="3"/>
      <c r="B111" s="3"/>
      <c r="C111" s="10" t="str">
        <f aca="false">IF(B111="","",CHOOSE(B111,"Rojo","Turquesa","Amarillo","Verde menta","Purpura","Salmon"))</f>
        <v/>
      </c>
      <c r="D111" s="3"/>
      <c r="E111" s="29"/>
      <c r="F111" s="29"/>
      <c r="G111" s="3"/>
    </row>
    <row r="112" customFormat="false" ht="15" hidden="false" customHeight="false" outlineLevel="0" collapsed="false">
      <c r="A112" s="3"/>
      <c r="B112" s="3"/>
      <c r="C112" s="10" t="str">
        <f aca="false">IF(B112="","",CHOOSE(B112,"Rojo","Turquesa","Amarillo","Verde menta","Purpura","Salmon"))</f>
        <v/>
      </c>
      <c r="D112" s="3"/>
      <c r="E112" s="29"/>
      <c r="F112" s="29"/>
      <c r="G112" s="3"/>
    </row>
    <row r="113" customFormat="false" ht="15" hidden="false" customHeight="false" outlineLevel="0" collapsed="false">
      <c r="A113" s="3"/>
      <c r="B113" s="3"/>
      <c r="C113" s="10" t="str">
        <f aca="false">IF(B113="","",CHOOSE(B113,"Rojo","Turquesa","Amarillo","Verde menta","Purpura","Salmon"))</f>
        <v/>
      </c>
      <c r="D113" s="3"/>
      <c r="E113" s="29"/>
      <c r="F113" s="29"/>
      <c r="G113" s="3"/>
    </row>
    <row r="114" customFormat="false" ht="15" hidden="false" customHeight="false" outlineLevel="0" collapsed="false">
      <c r="A114" s="3"/>
      <c r="B114" s="3"/>
      <c r="C114" s="10" t="str">
        <f aca="false">IF(B114="","",CHOOSE(B114,"Rojo","Turquesa","Amarillo","Verde menta","Purpura","Salmon"))</f>
        <v/>
      </c>
      <c r="D114" s="3"/>
      <c r="E114" s="29"/>
      <c r="F114" s="29"/>
      <c r="G114" s="3"/>
    </row>
    <row r="115" customFormat="false" ht="15" hidden="false" customHeight="false" outlineLevel="0" collapsed="false">
      <c r="A115" s="3"/>
      <c r="B115" s="3"/>
      <c r="C115" s="10" t="str">
        <f aca="false">IF(B115="","",CHOOSE(B115,"Rojo","Turquesa","Amarillo","Verde menta","Purpura","Salmon"))</f>
        <v/>
      </c>
      <c r="D115" s="3"/>
      <c r="E115" s="29"/>
      <c r="F115" s="29"/>
      <c r="G115" s="3"/>
    </row>
    <row r="116" customFormat="false" ht="15" hidden="false" customHeight="false" outlineLevel="0" collapsed="false">
      <c r="A116" s="3"/>
      <c r="B116" s="3"/>
      <c r="C116" s="10" t="str">
        <f aca="false">IF(B116="","",CHOOSE(B116,"Rojo","Turquesa","Amarillo","Verde menta","Purpura","Salmon"))</f>
        <v/>
      </c>
      <c r="D116" s="3"/>
      <c r="E116" s="29"/>
      <c r="F116" s="29"/>
      <c r="G116" s="3"/>
    </row>
    <row r="117" customFormat="false" ht="15" hidden="false" customHeight="false" outlineLevel="0" collapsed="false">
      <c r="A117" s="3"/>
      <c r="B117" s="3"/>
      <c r="C117" s="10" t="str">
        <f aca="false">IF(B117="","",CHOOSE(B117,"Rojo","Turquesa","Amarillo","Verde menta","Purpura","Salmon"))</f>
        <v/>
      </c>
      <c r="D117" s="3"/>
      <c r="E117" s="29"/>
      <c r="F117" s="29"/>
      <c r="G117" s="3"/>
    </row>
    <row r="118" customFormat="false" ht="15" hidden="false" customHeight="false" outlineLevel="0" collapsed="false">
      <c r="A118" s="3"/>
      <c r="B118" s="3"/>
      <c r="C118" s="10" t="str">
        <f aca="false">IF(B118="","",CHOOSE(B118,"Rojo","Turquesa","Amarillo","Verde menta","Purpura","Salmon"))</f>
        <v/>
      </c>
      <c r="D118" s="3"/>
      <c r="E118" s="29"/>
      <c r="F118" s="29"/>
      <c r="G118" s="3"/>
    </row>
    <row r="119" customFormat="false" ht="15" hidden="false" customHeight="false" outlineLevel="0" collapsed="false">
      <c r="A119" s="3"/>
      <c r="B119" s="3"/>
      <c r="C119" s="10" t="str">
        <f aca="false">IF(B119="","",CHOOSE(B119,"Rojo","Turquesa","Amarillo","Verde menta","Purpura","Salmon"))</f>
        <v/>
      </c>
      <c r="D119" s="3"/>
      <c r="E119" s="29"/>
      <c r="F119" s="29"/>
      <c r="G119" s="3"/>
    </row>
    <row r="120" customFormat="false" ht="15" hidden="false" customHeight="false" outlineLevel="0" collapsed="false">
      <c r="A120" s="3"/>
      <c r="B120" s="3"/>
      <c r="C120" s="10" t="str">
        <f aca="false">IF(B120="","",CHOOSE(B120,"Rojo","Turquesa","Amarillo","Verde menta","Purpura","Salmon"))</f>
        <v/>
      </c>
      <c r="D120" s="3"/>
      <c r="E120" s="29"/>
      <c r="F120" s="29"/>
      <c r="G120" s="3"/>
    </row>
    <row r="121" customFormat="false" ht="15" hidden="false" customHeight="false" outlineLevel="0" collapsed="false">
      <c r="A121" s="3"/>
      <c r="B121" s="3"/>
      <c r="C121" s="10" t="str">
        <f aca="false">IF(B121="","",CHOOSE(B121,"Rojo","Turquesa","Amarillo","Verde menta","Purpura","Salmon"))</f>
        <v/>
      </c>
      <c r="D121" s="3"/>
      <c r="E121" s="29"/>
      <c r="F121" s="29"/>
      <c r="G121" s="3"/>
    </row>
    <row r="122" customFormat="false" ht="15" hidden="false" customHeight="false" outlineLevel="0" collapsed="false">
      <c r="A122" s="3"/>
      <c r="B122" s="3"/>
      <c r="C122" s="10" t="str">
        <f aca="false">IF(B122="","",CHOOSE(B122,"Rojo","Turquesa","Amarillo","Verde menta","Purpura","Salmon"))</f>
        <v/>
      </c>
      <c r="D122" s="3"/>
      <c r="E122" s="29"/>
      <c r="F122" s="29"/>
      <c r="G122" s="3"/>
    </row>
    <row r="123" customFormat="false" ht="15" hidden="false" customHeight="false" outlineLevel="0" collapsed="false">
      <c r="A123" s="3"/>
      <c r="B123" s="3"/>
      <c r="C123" s="10" t="str">
        <f aca="false">IF(B123="","",CHOOSE(B123,"Rojo","Turquesa","Amarillo","Verde menta","Purpura","Salmon"))</f>
        <v/>
      </c>
      <c r="D123" s="3"/>
      <c r="E123" s="29"/>
      <c r="F123" s="29"/>
      <c r="G123" s="3"/>
    </row>
    <row r="124" customFormat="false" ht="15" hidden="false" customHeight="false" outlineLevel="0" collapsed="false">
      <c r="A124" s="3"/>
      <c r="B124" s="3"/>
      <c r="C124" s="10" t="str">
        <f aca="false">IF(B124="","",CHOOSE(B124,"Rojo","Turquesa","Amarillo","Verde menta","Purpura","Salmon"))</f>
        <v/>
      </c>
      <c r="D124" s="3"/>
      <c r="E124" s="29"/>
      <c r="F124" s="29"/>
      <c r="G124" s="3"/>
    </row>
    <row r="125" customFormat="false" ht="15" hidden="false" customHeight="false" outlineLevel="0" collapsed="false">
      <c r="A125" s="3"/>
      <c r="B125" s="3"/>
      <c r="C125" s="10" t="str">
        <f aca="false">IF(B125="","",CHOOSE(B125,"Rojo","Turquesa","Amarillo","Verde menta","Purpura","Salmon"))</f>
        <v/>
      </c>
      <c r="D125" s="3"/>
      <c r="E125" s="29"/>
      <c r="F125" s="29"/>
      <c r="G125" s="3"/>
    </row>
    <row r="126" customFormat="false" ht="15" hidden="false" customHeight="false" outlineLevel="0" collapsed="false">
      <c r="A126" s="3"/>
      <c r="B126" s="3"/>
      <c r="C126" s="10" t="str">
        <f aca="false">IF(B126="","",CHOOSE(B126,"Rojo","Turquesa","Amarillo","Verde menta","Purpura","Salmon"))</f>
        <v/>
      </c>
      <c r="D126" s="3"/>
      <c r="E126" s="29"/>
      <c r="F126" s="29"/>
      <c r="G126" s="3"/>
    </row>
    <row r="127" customFormat="false" ht="15" hidden="false" customHeight="false" outlineLevel="0" collapsed="false">
      <c r="A127" s="3"/>
      <c r="B127" s="3"/>
      <c r="C127" s="10" t="str">
        <f aca="false">IF(B127="","",CHOOSE(B127,"Rojo","Turquesa","Amarillo","Verde menta","Purpura","Salmon"))</f>
        <v/>
      </c>
      <c r="D127" s="3"/>
      <c r="E127" s="29"/>
      <c r="F127" s="29"/>
      <c r="G127" s="3"/>
    </row>
    <row r="128" customFormat="false" ht="15" hidden="false" customHeight="false" outlineLevel="0" collapsed="false">
      <c r="A128" s="3"/>
      <c r="B128" s="3"/>
      <c r="C128" s="10" t="str">
        <f aca="false">IF(B128="","",CHOOSE(B128,"Rojo","Turquesa","Amarillo","Verde menta","Purpura","Salmon"))</f>
        <v/>
      </c>
      <c r="D128" s="3"/>
      <c r="E128" s="29"/>
      <c r="F128" s="29"/>
      <c r="G128" s="3"/>
    </row>
    <row r="129" customFormat="false" ht="15" hidden="false" customHeight="false" outlineLevel="0" collapsed="false">
      <c r="A129" s="3"/>
      <c r="B129" s="3"/>
      <c r="C129" s="10" t="str">
        <f aca="false">IF(B129="","",CHOOSE(B129,"Rojo","Turquesa","Amarillo","Verde menta","Purpura","Salmon"))</f>
        <v/>
      </c>
      <c r="D129" s="3"/>
      <c r="E129" s="29"/>
      <c r="F129" s="29"/>
      <c r="G129" s="3"/>
    </row>
    <row r="130" customFormat="false" ht="15" hidden="false" customHeight="false" outlineLevel="0" collapsed="false">
      <c r="A130" s="3"/>
      <c r="B130" s="3"/>
      <c r="C130" s="10" t="str">
        <f aca="false">IF(B130="","",CHOOSE(B130,"Rojo","Turquesa","Amarillo","Verde menta","Purpura","Salmon"))</f>
        <v/>
      </c>
      <c r="D130" s="3"/>
      <c r="E130" s="29"/>
      <c r="F130" s="29"/>
      <c r="G130" s="3"/>
    </row>
    <row r="131" customFormat="false" ht="15" hidden="false" customHeight="false" outlineLevel="0" collapsed="false">
      <c r="A131" s="3"/>
      <c r="B131" s="3"/>
      <c r="C131" s="10" t="str">
        <f aca="false">IF(B131="","",CHOOSE(B131,"Rojo","Turquesa","Amarillo","Verde menta","Purpura","Salmon"))</f>
        <v/>
      </c>
      <c r="D131" s="3"/>
      <c r="E131" s="29"/>
      <c r="F131" s="29"/>
      <c r="G131" s="3"/>
    </row>
    <row r="132" customFormat="false" ht="15" hidden="false" customHeight="false" outlineLevel="0" collapsed="false">
      <c r="A132" s="3"/>
      <c r="B132" s="3"/>
      <c r="C132" s="10" t="str">
        <f aca="false">IF(B132="","",CHOOSE(B132,"Rojo","Turquesa","Amarillo","Verde menta","Purpura","Salmon"))</f>
        <v/>
      </c>
      <c r="D132" s="3"/>
      <c r="E132" s="29"/>
      <c r="F132" s="29"/>
      <c r="G132" s="3"/>
    </row>
    <row r="133" customFormat="false" ht="15" hidden="false" customHeight="false" outlineLevel="0" collapsed="false">
      <c r="A133" s="3"/>
      <c r="B133" s="3"/>
      <c r="C133" s="10" t="str">
        <f aca="false">IF(B133="","",CHOOSE(B133,"Rojo","Turquesa","Amarillo","Verde menta","Purpura","Salmon"))</f>
        <v/>
      </c>
      <c r="D133" s="3"/>
      <c r="E133" s="29"/>
      <c r="F133" s="29"/>
      <c r="G133" s="3"/>
    </row>
    <row r="134" customFormat="false" ht="15" hidden="false" customHeight="false" outlineLevel="0" collapsed="false">
      <c r="A134" s="3"/>
      <c r="B134" s="3"/>
      <c r="C134" s="10" t="str">
        <f aca="false">IF(B134="","",CHOOSE(B134,"Rojo","Turquesa","Amarillo","Verde menta","Purpura","Salmon"))</f>
        <v/>
      </c>
      <c r="D134" s="3"/>
      <c r="E134" s="29"/>
      <c r="F134" s="29"/>
      <c r="G134" s="3"/>
    </row>
    <row r="135" customFormat="false" ht="15" hidden="false" customHeight="false" outlineLevel="0" collapsed="false">
      <c r="A135" s="3"/>
      <c r="B135" s="3"/>
      <c r="C135" s="10" t="str">
        <f aca="false">IF(B135="","",CHOOSE(B135,"Rojo","Turquesa","Amarillo","Verde menta","Purpura","Salmon"))</f>
        <v/>
      </c>
      <c r="D135" s="3"/>
      <c r="E135" s="29"/>
      <c r="F135" s="29"/>
      <c r="G135" s="3"/>
    </row>
    <row r="136" customFormat="false" ht="15" hidden="false" customHeight="false" outlineLevel="0" collapsed="false">
      <c r="A136" s="3"/>
      <c r="B136" s="3"/>
      <c r="C136" s="10" t="str">
        <f aca="false">IF(B136="","",CHOOSE(B136,"Rojo","Turquesa","Amarillo","Verde menta","Purpura","Salmon"))</f>
        <v/>
      </c>
      <c r="D136" s="3"/>
      <c r="E136" s="29"/>
      <c r="F136" s="29"/>
      <c r="G136" s="3"/>
    </row>
    <row r="137" customFormat="false" ht="15" hidden="false" customHeight="false" outlineLevel="0" collapsed="false">
      <c r="A137" s="3"/>
      <c r="B137" s="3"/>
      <c r="C137" s="10" t="str">
        <f aca="false">IF(B137="","",CHOOSE(B137,"Rojo","Turquesa","Amarillo","Verde menta","Purpura","Salmon"))</f>
        <v/>
      </c>
      <c r="D137" s="3"/>
      <c r="E137" s="29"/>
      <c r="F137" s="29"/>
      <c r="G137" s="3"/>
    </row>
    <row r="138" customFormat="false" ht="15" hidden="false" customHeight="false" outlineLevel="0" collapsed="false">
      <c r="A138" s="3"/>
      <c r="B138" s="3"/>
      <c r="C138" s="10" t="str">
        <f aca="false">IF(B138="","",CHOOSE(B138,"Rojo","Turquesa","Amarillo","Verde menta","Purpura","Salmon"))</f>
        <v/>
      </c>
      <c r="D138" s="3"/>
      <c r="E138" s="29"/>
      <c r="F138" s="29"/>
      <c r="G138" s="3"/>
    </row>
    <row r="139" customFormat="false" ht="15" hidden="false" customHeight="false" outlineLevel="0" collapsed="false">
      <c r="A139" s="3"/>
      <c r="B139" s="3"/>
      <c r="C139" s="10" t="str">
        <f aca="false">IF(B139="","",CHOOSE(B139,"Rojo","Turquesa","Amarillo","Verde menta","Purpura","Salmon"))</f>
        <v/>
      </c>
      <c r="D139" s="3"/>
      <c r="E139" s="29"/>
      <c r="F139" s="29"/>
      <c r="G139" s="3"/>
    </row>
    <row r="140" customFormat="false" ht="15" hidden="false" customHeight="false" outlineLevel="0" collapsed="false">
      <c r="A140" s="3"/>
      <c r="B140" s="3"/>
      <c r="C140" s="10" t="str">
        <f aca="false">IF(B140="","",CHOOSE(B140,"Rojo","Turquesa","Amarillo","Verde menta","Purpura","Salmon"))</f>
        <v/>
      </c>
      <c r="D140" s="3"/>
      <c r="E140" s="29"/>
      <c r="F140" s="29"/>
      <c r="G140" s="3"/>
    </row>
    <row r="141" customFormat="false" ht="15" hidden="false" customHeight="false" outlineLevel="0" collapsed="false">
      <c r="A141" s="3"/>
      <c r="B141" s="3"/>
      <c r="C141" s="10" t="str">
        <f aca="false">IF(B141="","",CHOOSE(B141,"Rojo","Turquesa","Amarillo","Verde menta","Purpura","Salmon"))</f>
        <v/>
      </c>
      <c r="D141" s="3"/>
      <c r="E141" s="29"/>
      <c r="F141" s="29"/>
      <c r="G141" s="3"/>
    </row>
    <row r="142" customFormat="false" ht="15" hidden="false" customHeight="false" outlineLevel="0" collapsed="false">
      <c r="A142" s="3"/>
      <c r="B142" s="3"/>
      <c r="C142" s="10" t="str">
        <f aca="false">IF(B142="","",CHOOSE(B142,"Rojo","Turquesa","Amarillo","Verde menta","Purpura","Salmon"))</f>
        <v/>
      </c>
      <c r="D142" s="3"/>
      <c r="E142" s="29"/>
      <c r="F142" s="29"/>
      <c r="G142" s="3"/>
    </row>
    <row r="143" customFormat="false" ht="15" hidden="false" customHeight="false" outlineLevel="0" collapsed="false">
      <c r="A143" s="3"/>
      <c r="B143" s="3"/>
      <c r="C143" s="10" t="str">
        <f aca="false">IF(B143="","",CHOOSE(B143,"Rojo","Turquesa","Amarillo","Verde menta","Purpura","Salmon"))</f>
        <v/>
      </c>
      <c r="D143" s="3"/>
      <c r="E143" s="29"/>
      <c r="F143" s="29"/>
      <c r="G143" s="3"/>
    </row>
    <row r="144" customFormat="false" ht="15" hidden="false" customHeight="false" outlineLevel="0" collapsed="false">
      <c r="A144" s="3"/>
      <c r="B144" s="3"/>
      <c r="C144" s="10" t="str">
        <f aca="false">IF(B144="","",CHOOSE(B144,"Rojo","Turquesa","Amarillo","Verde menta","Purpura","Salmon"))</f>
        <v/>
      </c>
      <c r="D144" s="3"/>
      <c r="E144" s="29"/>
      <c r="F144" s="29"/>
      <c r="G144" s="3"/>
    </row>
    <row r="145" customFormat="false" ht="15" hidden="false" customHeight="false" outlineLevel="0" collapsed="false">
      <c r="A145" s="3"/>
      <c r="B145" s="3"/>
      <c r="C145" s="10" t="str">
        <f aca="false">IF(B145="","",CHOOSE(B145,"Rojo","Turquesa","Amarillo","Verde menta","Purpura","Salmon"))</f>
        <v/>
      </c>
      <c r="D145" s="3"/>
      <c r="E145" s="29"/>
      <c r="F145" s="29"/>
      <c r="G145" s="3"/>
    </row>
    <row r="146" customFormat="false" ht="15" hidden="false" customHeight="false" outlineLevel="0" collapsed="false">
      <c r="A146" s="3"/>
      <c r="B146" s="3"/>
      <c r="C146" s="10" t="str">
        <f aca="false">IF(B146="","",CHOOSE(B146,"Rojo","Turquesa","Amarillo","Verde menta","Purpura","Salmon"))</f>
        <v/>
      </c>
      <c r="D146" s="3"/>
      <c r="E146" s="29"/>
      <c r="F146" s="29"/>
      <c r="G146" s="3"/>
    </row>
    <row r="147" customFormat="false" ht="15" hidden="false" customHeight="false" outlineLevel="0" collapsed="false">
      <c r="A147" s="3"/>
      <c r="B147" s="3"/>
      <c r="C147" s="10" t="str">
        <f aca="false">IF(B147="","",CHOOSE(B147,"Rojo","Turquesa","Amarillo","Verde menta","Purpura","Salmon"))</f>
        <v/>
      </c>
      <c r="D147" s="3"/>
      <c r="E147" s="29"/>
      <c r="F147" s="29"/>
      <c r="G147" s="3"/>
    </row>
    <row r="148" customFormat="false" ht="15" hidden="false" customHeight="false" outlineLevel="0" collapsed="false">
      <c r="A148" s="3"/>
      <c r="B148" s="3"/>
      <c r="C148" s="10" t="str">
        <f aca="false">IF(B148="","",CHOOSE(B148,"Rojo","Turquesa","Amarillo","Verde menta","Purpura","Salmon"))</f>
        <v/>
      </c>
      <c r="D148" s="3"/>
      <c r="E148" s="29"/>
      <c r="F148" s="29"/>
      <c r="G148" s="3"/>
    </row>
    <row r="149" customFormat="false" ht="15" hidden="false" customHeight="false" outlineLevel="0" collapsed="false">
      <c r="A149" s="3"/>
      <c r="B149" s="3"/>
      <c r="C149" s="10" t="str">
        <f aca="false">IF(B149="","",CHOOSE(B149,"Rojo","Turquesa","Amarillo","Verde menta","Purpura","Salmon"))</f>
        <v/>
      </c>
      <c r="D149" s="3"/>
      <c r="E149" s="29"/>
      <c r="F149" s="29"/>
      <c r="G149" s="3"/>
    </row>
    <row r="150" customFormat="false" ht="15" hidden="false" customHeight="false" outlineLevel="0" collapsed="false">
      <c r="A150" s="3"/>
      <c r="B150" s="3"/>
      <c r="C150" s="10" t="str">
        <f aca="false">IF(B150="","",CHOOSE(B150,"Rojo","Turquesa","Amarillo","Verde menta","Purpura","Salmon"))</f>
        <v/>
      </c>
      <c r="D150" s="3"/>
      <c r="E150" s="29"/>
      <c r="F150" s="29"/>
      <c r="G150" s="3"/>
    </row>
    <row r="151" customFormat="false" ht="15" hidden="false" customHeight="false" outlineLevel="0" collapsed="false">
      <c r="A151" s="3"/>
      <c r="B151" s="3"/>
      <c r="C151" s="10" t="str">
        <f aca="false">IF(B151="","",CHOOSE(B151,"Rojo","Turquesa","Amarillo","Verde menta","Purpura","Salmon"))</f>
        <v/>
      </c>
      <c r="D151" s="3"/>
      <c r="E151" s="29"/>
      <c r="F151" s="29"/>
      <c r="G151" s="3"/>
    </row>
    <row r="152" customFormat="false" ht="15" hidden="false" customHeight="false" outlineLevel="0" collapsed="false">
      <c r="A152" s="3"/>
      <c r="B152" s="3"/>
      <c r="C152" s="10" t="str">
        <f aca="false">IF(B152="","",CHOOSE(B152,"Rojo","Turquesa","Amarillo","Verde menta","Purpura","Salmon"))</f>
        <v/>
      </c>
      <c r="D152" s="3"/>
      <c r="E152" s="29"/>
      <c r="F152" s="29"/>
      <c r="G152" s="3"/>
    </row>
    <row r="153" customFormat="false" ht="15" hidden="false" customHeight="false" outlineLevel="0" collapsed="false">
      <c r="A153" s="3"/>
      <c r="B153" s="3"/>
      <c r="C153" s="10" t="str">
        <f aca="false">IF(B153="","",CHOOSE(B153,"Rojo","Turquesa","Amarillo","Verde menta","Purpura","Salmon"))</f>
        <v/>
      </c>
      <c r="D153" s="3"/>
      <c r="E153" s="29"/>
      <c r="F153" s="29"/>
      <c r="G153" s="3"/>
    </row>
    <row r="154" customFormat="false" ht="15" hidden="false" customHeight="false" outlineLevel="0" collapsed="false">
      <c r="A154" s="3"/>
      <c r="B154" s="3"/>
      <c r="C154" s="10" t="str">
        <f aca="false">IF(B154="","",CHOOSE(B154,"Rojo","Turquesa","Amarillo","Verde menta","Purpura","Salmon"))</f>
        <v/>
      </c>
      <c r="D154" s="3"/>
      <c r="E154" s="29"/>
      <c r="F154" s="29"/>
      <c r="G154" s="3"/>
    </row>
    <row r="155" customFormat="false" ht="15" hidden="false" customHeight="false" outlineLevel="0" collapsed="false">
      <c r="A155" s="3"/>
      <c r="B155" s="3"/>
      <c r="C155" s="10" t="str">
        <f aca="false">IF(B155="","",CHOOSE(B155,"Rojo","Turquesa","Amarillo","Verde menta","Purpura","Salmon"))</f>
        <v/>
      </c>
      <c r="D155" s="3"/>
      <c r="E155" s="29"/>
      <c r="F155" s="29"/>
      <c r="G155" s="3"/>
    </row>
    <row r="156" customFormat="false" ht="15" hidden="false" customHeight="false" outlineLevel="0" collapsed="false">
      <c r="A156" s="3"/>
      <c r="B156" s="3"/>
      <c r="C156" s="10" t="str">
        <f aca="false">IF(B156="","",CHOOSE(B156,"Rojo","Turquesa","Amarillo","Verde menta","Purpura","Salmon"))</f>
        <v/>
      </c>
      <c r="D156" s="3"/>
      <c r="E156" s="29"/>
      <c r="F156" s="29"/>
      <c r="G156" s="3"/>
    </row>
    <row r="157" customFormat="false" ht="15" hidden="false" customHeight="false" outlineLevel="0" collapsed="false">
      <c r="A157" s="3"/>
      <c r="B157" s="3"/>
      <c r="C157" s="10" t="str">
        <f aca="false">IF(B157="","",CHOOSE(B157,"Rojo","Turquesa","Amarillo","Verde menta","Purpura","Salmon"))</f>
        <v/>
      </c>
      <c r="D157" s="3"/>
      <c r="E157" s="29"/>
      <c r="F157" s="29"/>
      <c r="G157" s="3"/>
    </row>
    <row r="158" customFormat="false" ht="15" hidden="false" customHeight="false" outlineLevel="0" collapsed="false">
      <c r="A158" s="3"/>
      <c r="B158" s="3"/>
      <c r="C158" s="10" t="str">
        <f aca="false">IF(B158="","",CHOOSE(B158,"Rojo","Turquesa","Amarillo","Verde menta","Purpura","Salmon"))</f>
        <v/>
      </c>
      <c r="D158" s="3"/>
      <c r="E158" s="29"/>
      <c r="F158" s="29"/>
      <c r="G158" s="3"/>
    </row>
    <row r="159" customFormat="false" ht="15" hidden="false" customHeight="false" outlineLevel="0" collapsed="false">
      <c r="A159" s="3"/>
      <c r="B159" s="3"/>
      <c r="C159" s="10" t="str">
        <f aca="false">IF(B159="","",CHOOSE(B159,"Rojo","Turquesa","Amarillo","Verde menta","Purpura","Salmon"))</f>
        <v/>
      </c>
      <c r="D159" s="3"/>
      <c r="E159" s="29"/>
      <c r="F159" s="29"/>
      <c r="G159" s="3"/>
    </row>
    <row r="160" customFormat="false" ht="15" hidden="false" customHeight="false" outlineLevel="0" collapsed="false">
      <c r="A160" s="3"/>
      <c r="B160" s="3"/>
      <c r="C160" s="10" t="str">
        <f aca="false">IF(B160="","",CHOOSE(B160,"Rojo","Turquesa","Amarillo","Verde menta","Purpura","Salmon"))</f>
        <v/>
      </c>
      <c r="D160" s="3"/>
      <c r="E160" s="29"/>
      <c r="F160" s="29"/>
      <c r="G160" s="3"/>
    </row>
    <row r="161" customFormat="false" ht="15" hidden="false" customHeight="false" outlineLevel="0" collapsed="false">
      <c r="A161" s="3"/>
      <c r="B161" s="3"/>
      <c r="C161" s="10" t="str">
        <f aca="false">IF(B161="","",CHOOSE(B161,"Rojo","Turquesa","Amarillo","Verde menta","Purpura","Salmon"))</f>
        <v/>
      </c>
      <c r="D161" s="3"/>
      <c r="E161" s="29"/>
      <c r="F161" s="29"/>
      <c r="G161" s="3"/>
    </row>
    <row r="162" customFormat="false" ht="15" hidden="false" customHeight="false" outlineLevel="0" collapsed="false">
      <c r="A162" s="3"/>
      <c r="B162" s="3"/>
      <c r="C162" s="10" t="str">
        <f aca="false">IF(B162="","",CHOOSE(B162,"Rojo","Turquesa","Amarillo","Verde menta","Purpura","Salmon"))</f>
        <v/>
      </c>
      <c r="D162" s="3"/>
      <c r="E162" s="29"/>
      <c r="F162" s="29"/>
      <c r="G162" s="3"/>
    </row>
    <row r="163" customFormat="false" ht="15" hidden="false" customHeight="false" outlineLevel="0" collapsed="false">
      <c r="A163" s="3"/>
      <c r="B163" s="3"/>
      <c r="C163" s="10" t="str">
        <f aca="false">IF(B163="","",CHOOSE(B163,"Rojo","Turquesa","Amarillo","Verde menta","Purpura","Salmon"))</f>
        <v/>
      </c>
      <c r="D163" s="3"/>
      <c r="E163" s="29"/>
      <c r="F163" s="29"/>
      <c r="G163" s="3"/>
    </row>
    <row r="164" customFormat="false" ht="15" hidden="false" customHeight="false" outlineLevel="0" collapsed="false">
      <c r="A164" s="3"/>
      <c r="B164" s="3"/>
      <c r="C164" s="10" t="str">
        <f aca="false">IF(B164="","",CHOOSE(B164,"Rojo","Turquesa","Amarillo","Verde menta","Purpura","Salmon"))</f>
        <v/>
      </c>
      <c r="D164" s="3"/>
      <c r="E164" s="29"/>
      <c r="F164" s="29"/>
      <c r="G164" s="3"/>
    </row>
    <row r="165" customFormat="false" ht="15" hidden="false" customHeight="false" outlineLevel="0" collapsed="false">
      <c r="A165" s="3"/>
      <c r="B165" s="3"/>
      <c r="C165" s="10" t="str">
        <f aca="false">IF(B165="","",CHOOSE(B165,"Rojo","Turquesa","Amarillo","Verde menta","Purpura","Salmon"))</f>
        <v/>
      </c>
      <c r="D165" s="3"/>
      <c r="E165" s="29"/>
      <c r="F165" s="29"/>
      <c r="G165" s="3"/>
    </row>
    <row r="166" customFormat="false" ht="15" hidden="false" customHeight="false" outlineLevel="0" collapsed="false">
      <c r="A166" s="3"/>
      <c r="B166" s="3"/>
      <c r="C166" s="10" t="str">
        <f aca="false">IF(B166="","",CHOOSE(B166,"Rojo","Turquesa","Amarillo","Verde menta","Purpura","Salmon"))</f>
        <v/>
      </c>
      <c r="D166" s="3"/>
      <c r="E166" s="29"/>
      <c r="F166" s="29"/>
      <c r="G166" s="3"/>
    </row>
    <row r="167" customFormat="false" ht="15" hidden="false" customHeight="false" outlineLevel="0" collapsed="false">
      <c r="A167" s="3"/>
      <c r="B167" s="3"/>
      <c r="C167" s="10" t="str">
        <f aca="false">IF(B167="","",CHOOSE(B167,"Rojo","Turquesa","Amarillo","Verde menta","Purpura","Salmon"))</f>
        <v/>
      </c>
      <c r="D167" s="3"/>
      <c r="E167" s="29"/>
      <c r="F167" s="29"/>
      <c r="G167" s="3"/>
    </row>
    <row r="168" customFormat="false" ht="15" hidden="false" customHeight="false" outlineLevel="0" collapsed="false">
      <c r="A168" s="3"/>
      <c r="B168" s="3"/>
      <c r="C168" s="10" t="str">
        <f aca="false">IF(B168="","",CHOOSE(B168,"Rojo","Turquesa","Amarillo","Verde menta","Purpura","Salmon"))</f>
        <v/>
      </c>
      <c r="D168" s="3"/>
      <c r="E168" s="29"/>
      <c r="F168" s="29"/>
      <c r="G168" s="3"/>
    </row>
    <row r="169" customFormat="false" ht="15" hidden="false" customHeight="false" outlineLevel="0" collapsed="false">
      <c r="A169" s="3"/>
      <c r="B169" s="3"/>
      <c r="C169" s="10" t="str">
        <f aca="false">IF(B169="","",CHOOSE(B169,"Rojo","Turquesa","Amarillo","Verde menta","Purpura","Salmon"))</f>
        <v/>
      </c>
      <c r="D169" s="3"/>
      <c r="E169" s="29"/>
      <c r="F169" s="29"/>
      <c r="G169" s="3"/>
    </row>
    <row r="170" customFormat="false" ht="15" hidden="false" customHeight="false" outlineLevel="0" collapsed="false">
      <c r="A170" s="3"/>
      <c r="B170" s="3"/>
      <c r="C170" s="10" t="str">
        <f aca="false">IF(B170="","",CHOOSE(B170,"Rojo","Turquesa","Amarillo","Verde menta","Purpura","Salmon"))</f>
        <v/>
      </c>
      <c r="D170" s="3"/>
      <c r="E170" s="29"/>
      <c r="F170" s="29"/>
      <c r="G170" s="3"/>
    </row>
    <row r="171" customFormat="false" ht="15" hidden="false" customHeight="false" outlineLevel="0" collapsed="false">
      <c r="A171" s="3"/>
      <c r="B171" s="3"/>
      <c r="C171" s="10" t="str">
        <f aca="false">IF(B171="","",CHOOSE(B171,"Rojo","Turquesa","Amarillo","Verde menta","Purpura","Salmon"))</f>
        <v/>
      </c>
      <c r="D171" s="3"/>
      <c r="E171" s="29"/>
      <c r="F171" s="29"/>
      <c r="G171" s="3"/>
    </row>
    <row r="172" customFormat="false" ht="15" hidden="false" customHeight="false" outlineLevel="0" collapsed="false">
      <c r="A172" s="3"/>
      <c r="B172" s="3"/>
      <c r="C172" s="10" t="str">
        <f aca="false">IF(B172="","",CHOOSE(B172,"Rojo","Turquesa","Amarillo","Verde menta","Purpura","Salmon"))</f>
        <v/>
      </c>
      <c r="D172" s="3"/>
      <c r="E172" s="29"/>
      <c r="F172" s="29"/>
      <c r="G172" s="3"/>
    </row>
    <row r="173" customFormat="false" ht="15" hidden="false" customHeight="false" outlineLevel="0" collapsed="false">
      <c r="A173" s="3"/>
      <c r="B173" s="3"/>
      <c r="C173" s="10" t="str">
        <f aca="false">IF(B173="","",CHOOSE(B173,"Rojo","Turquesa","Amarillo","Verde menta","Purpura","Salmon"))</f>
        <v/>
      </c>
      <c r="D173" s="3"/>
      <c r="E173" s="29"/>
      <c r="F173" s="29"/>
      <c r="G173" s="3"/>
    </row>
    <row r="174" customFormat="false" ht="15" hidden="false" customHeight="false" outlineLevel="0" collapsed="false">
      <c r="A174" s="3"/>
      <c r="B174" s="3"/>
      <c r="C174" s="10" t="str">
        <f aca="false">IF(B174="","",CHOOSE(B174,"Rojo","Turquesa","Amarillo","Verde menta","Purpura","Salmon"))</f>
        <v/>
      </c>
      <c r="D174" s="3"/>
      <c r="E174" s="29"/>
      <c r="F174" s="29"/>
      <c r="G174" s="3"/>
    </row>
    <row r="175" customFormat="false" ht="15" hidden="false" customHeight="false" outlineLevel="0" collapsed="false">
      <c r="A175" s="3"/>
      <c r="B175" s="3"/>
      <c r="C175" s="10" t="str">
        <f aca="false">IF(B175="","",CHOOSE(B175,"Rojo","Turquesa","Amarillo","Verde menta","Purpura","Salmon"))</f>
        <v/>
      </c>
      <c r="D175" s="3"/>
      <c r="E175" s="29"/>
      <c r="F175" s="29"/>
      <c r="G175" s="3"/>
    </row>
    <row r="176" customFormat="false" ht="15" hidden="false" customHeight="false" outlineLevel="0" collapsed="false">
      <c r="A176" s="3"/>
      <c r="B176" s="3"/>
      <c r="C176" s="10" t="str">
        <f aca="false">IF(B176="","",CHOOSE(B176,"Rojo","Turquesa","Amarillo","Verde menta","Purpura","Salmon"))</f>
        <v/>
      </c>
      <c r="D176" s="3"/>
      <c r="E176" s="29"/>
      <c r="F176" s="29"/>
      <c r="G176" s="3"/>
    </row>
    <row r="177" customFormat="false" ht="15" hidden="false" customHeight="false" outlineLevel="0" collapsed="false">
      <c r="A177" s="3"/>
      <c r="B177" s="3"/>
      <c r="C177" s="10" t="str">
        <f aca="false">IF(B177="","",CHOOSE(B177,"Rojo","Turquesa","Amarillo","Verde menta","Purpura","Salmon"))</f>
        <v/>
      </c>
      <c r="D177" s="3"/>
      <c r="E177" s="29"/>
      <c r="F177" s="29"/>
      <c r="G177" s="3"/>
    </row>
    <row r="178" customFormat="false" ht="15" hidden="false" customHeight="false" outlineLevel="0" collapsed="false">
      <c r="A178" s="3"/>
      <c r="B178" s="3"/>
      <c r="C178" s="10" t="str">
        <f aca="false">IF(B178="","",CHOOSE(B178,"Rojo","Turquesa","Amarillo","Verde menta","Purpura","Salmon"))</f>
        <v/>
      </c>
      <c r="D178" s="3"/>
      <c r="E178" s="29"/>
      <c r="F178" s="29"/>
      <c r="G178" s="3"/>
    </row>
    <row r="179" customFormat="false" ht="15" hidden="false" customHeight="false" outlineLevel="0" collapsed="false">
      <c r="A179" s="3"/>
      <c r="B179" s="3"/>
      <c r="C179" s="10" t="str">
        <f aca="false">IF(B179="","",CHOOSE(B179,"Rojo","Turquesa","Amarillo","Verde menta","Purpura","Salmon"))</f>
        <v/>
      </c>
      <c r="D179" s="3"/>
      <c r="E179" s="29"/>
      <c r="F179" s="29"/>
      <c r="G179" s="3"/>
    </row>
    <row r="180" customFormat="false" ht="15" hidden="false" customHeight="false" outlineLevel="0" collapsed="false">
      <c r="A180" s="3"/>
      <c r="B180" s="3"/>
      <c r="C180" s="10" t="str">
        <f aca="false">IF(B180="","",CHOOSE(B180,"Rojo","Turquesa","Amarillo","Verde menta","Purpura","Salmon"))</f>
        <v/>
      </c>
      <c r="D180" s="3"/>
      <c r="E180" s="29"/>
      <c r="F180" s="29"/>
      <c r="G180" s="3"/>
    </row>
    <row r="181" customFormat="false" ht="15" hidden="false" customHeight="false" outlineLevel="0" collapsed="false">
      <c r="A181" s="3"/>
      <c r="B181" s="3"/>
      <c r="C181" s="10" t="str">
        <f aca="false">IF(B181="","",CHOOSE(B181,"Rojo","Turquesa","Amarillo","Verde menta","Purpura","Salmon"))</f>
        <v/>
      </c>
      <c r="D181" s="3"/>
      <c r="E181" s="29"/>
      <c r="F181" s="29"/>
      <c r="G181" s="3"/>
    </row>
    <row r="182" customFormat="false" ht="15" hidden="false" customHeight="false" outlineLevel="0" collapsed="false">
      <c r="A182" s="3"/>
      <c r="B182" s="3"/>
      <c r="C182" s="10" t="str">
        <f aca="false">IF(B182="","",CHOOSE(B182,"Rojo","Turquesa","Amarillo","Verde menta","Purpura","Salmon"))</f>
        <v/>
      </c>
      <c r="D182" s="3"/>
      <c r="E182" s="29"/>
      <c r="F182" s="29"/>
      <c r="G182" s="3"/>
    </row>
    <row r="183" customFormat="false" ht="15" hidden="false" customHeight="false" outlineLevel="0" collapsed="false">
      <c r="A183" s="3"/>
      <c r="B183" s="3"/>
      <c r="C183" s="10" t="str">
        <f aca="false">IF(B183="","",CHOOSE(B183,"Rojo","Turquesa","Amarillo","Verde menta","Purpura","Salmon"))</f>
        <v/>
      </c>
      <c r="D183" s="3"/>
      <c r="E183" s="29"/>
      <c r="F183" s="29"/>
      <c r="G183" s="3"/>
    </row>
    <row r="184" customFormat="false" ht="15" hidden="false" customHeight="false" outlineLevel="0" collapsed="false">
      <c r="A184" s="3"/>
      <c r="B184" s="3"/>
      <c r="C184" s="10" t="str">
        <f aca="false">IF(B184="","",CHOOSE(B184,"Rojo","Turquesa","Amarillo","Verde menta","Purpura","Salmon"))</f>
        <v/>
      </c>
      <c r="D184" s="3"/>
      <c r="E184" s="29"/>
      <c r="F184" s="29"/>
      <c r="G184" s="3"/>
    </row>
    <row r="185" customFormat="false" ht="15" hidden="false" customHeight="false" outlineLevel="0" collapsed="false">
      <c r="A185" s="3"/>
      <c r="B185" s="3"/>
      <c r="C185" s="10" t="str">
        <f aca="false">IF(B185="","",CHOOSE(B185,"Rojo","Turquesa","Amarillo","Verde menta","Purpura","Salmon"))</f>
        <v/>
      </c>
      <c r="D185" s="3"/>
      <c r="E185" s="29"/>
      <c r="F185" s="29"/>
      <c r="G185" s="3"/>
    </row>
    <row r="186" customFormat="false" ht="15" hidden="false" customHeight="false" outlineLevel="0" collapsed="false">
      <c r="A186" s="3"/>
      <c r="B186" s="3"/>
      <c r="C186" s="10" t="str">
        <f aca="false">IF(B186="","",CHOOSE(B186,"Rojo","Turquesa","Amarillo","Verde menta","Purpura","Salmon"))</f>
        <v/>
      </c>
      <c r="D186" s="3"/>
      <c r="E186" s="29"/>
      <c r="F186" s="29"/>
      <c r="G186" s="3"/>
    </row>
    <row r="187" customFormat="false" ht="15" hidden="false" customHeight="false" outlineLevel="0" collapsed="false">
      <c r="A187" s="3"/>
      <c r="B187" s="3"/>
      <c r="C187" s="10" t="str">
        <f aca="false">IF(B187="","",CHOOSE(B187,"Rojo","Turquesa","Amarillo","Verde menta","Purpura","Salmon"))</f>
        <v/>
      </c>
      <c r="D187" s="3"/>
      <c r="E187" s="29"/>
      <c r="F187" s="29"/>
      <c r="G187" s="3"/>
    </row>
    <row r="188" customFormat="false" ht="15" hidden="false" customHeight="false" outlineLevel="0" collapsed="false">
      <c r="A188" s="3"/>
      <c r="B188" s="3"/>
      <c r="C188" s="10" t="str">
        <f aca="false">IF(B188="","",CHOOSE(B188,"Rojo","Turquesa","Amarillo","Verde menta","Purpura","Salmon"))</f>
        <v/>
      </c>
      <c r="D188" s="3"/>
      <c r="E188" s="29"/>
      <c r="F188" s="29"/>
      <c r="G188" s="3"/>
    </row>
    <row r="189" customFormat="false" ht="15" hidden="false" customHeight="false" outlineLevel="0" collapsed="false">
      <c r="A189" s="3"/>
      <c r="B189" s="3"/>
      <c r="C189" s="10" t="str">
        <f aca="false">IF(B189="","",CHOOSE(B189,"Rojo","Turquesa","Amarillo","Verde menta","Purpura","Salmon"))</f>
        <v/>
      </c>
      <c r="D189" s="3"/>
      <c r="E189" s="29"/>
      <c r="F189" s="29"/>
      <c r="G189" s="3"/>
    </row>
    <row r="190" customFormat="false" ht="15" hidden="false" customHeight="false" outlineLevel="0" collapsed="false">
      <c r="A190" s="3"/>
      <c r="B190" s="3"/>
      <c r="C190" s="10" t="str">
        <f aca="false">IF(B190="","",CHOOSE(B190,"Rojo","Turquesa","Amarillo","Verde menta","Purpura","Salmon"))</f>
        <v/>
      </c>
      <c r="D190" s="3"/>
      <c r="E190" s="29"/>
      <c r="F190" s="29"/>
      <c r="G190" s="3"/>
    </row>
    <row r="191" customFormat="false" ht="15" hidden="false" customHeight="false" outlineLevel="0" collapsed="false">
      <c r="A191" s="3"/>
      <c r="B191" s="3"/>
      <c r="C191" s="10" t="str">
        <f aca="false">IF(B191="","",CHOOSE(B191,"Rojo","Turquesa","Amarillo","Verde menta","Purpura","Salmon"))</f>
        <v/>
      </c>
      <c r="D191" s="3"/>
      <c r="E191" s="29"/>
      <c r="F191" s="29"/>
      <c r="G191" s="3"/>
    </row>
    <row r="192" customFormat="false" ht="15" hidden="false" customHeight="false" outlineLevel="0" collapsed="false">
      <c r="A192" s="3"/>
      <c r="B192" s="3"/>
      <c r="C192" s="10" t="str">
        <f aca="false">IF(B192="","",CHOOSE(B192,"Rojo","Turquesa","Amarillo","Verde menta","Purpura","Salmon"))</f>
        <v/>
      </c>
      <c r="D192" s="3"/>
      <c r="E192" s="29"/>
      <c r="F192" s="29"/>
      <c r="G192" s="3"/>
    </row>
    <row r="193" customFormat="false" ht="15" hidden="false" customHeight="false" outlineLevel="0" collapsed="false">
      <c r="A193" s="3"/>
      <c r="B193" s="3"/>
      <c r="C193" s="10" t="str">
        <f aca="false">IF(B193="","",CHOOSE(B193,"Rojo","Turquesa","Amarillo","Verde menta","Purpura","Salmon"))</f>
        <v/>
      </c>
      <c r="D193" s="3"/>
      <c r="E193" s="29"/>
      <c r="F193" s="29"/>
      <c r="G193" s="3"/>
    </row>
    <row r="194" customFormat="false" ht="15" hidden="false" customHeight="false" outlineLevel="0" collapsed="false">
      <c r="A194" s="3"/>
      <c r="B194" s="3"/>
      <c r="C194" s="10" t="str">
        <f aca="false">IF(B194="","",CHOOSE(B194,"Rojo","Turquesa","Amarillo","Verde menta","Purpura","Salmon"))</f>
        <v/>
      </c>
      <c r="D194" s="3"/>
      <c r="E194" s="29"/>
      <c r="F194" s="29"/>
      <c r="G194" s="3"/>
    </row>
    <row r="195" customFormat="false" ht="15" hidden="false" customHeight="false" outlineLevel="0" collapsed="false">
      <c r="A195" s="3"/>
      <c r="B195" s="3"/>
      <c r="C195" s="10" t="str">
        <f aca="false">IF(B195="","",CHOOSE(B195,"Rojo","Turquesa","Amarillo","Verde menta","Purpura","Salmon"))</f>
        <v/>
      </c>
      <c r="D195" s="3"/>
      <c r="E195" s="29"/>
      <c r="F195" s="29"/>
      <c r="G195" s="3"/>
    </row>
    <row r="196" customFormat="false" ht="15" hidden="false" customHeight="false" outlineLevel="0" collapsed="false">
      <c r="A196" s="3"/>
      <c r="B196" s="3"/>
      <c r="C196" s="10" t="str">
        <f aca="false">IF(B196="","",CHOOSE(B196,"Rojo","Turquesa","Amarillo","Verde menta","Purpura","Salmon"))</f>
        <v/>
      </c>
      <c r="D196" s="3"/>
      <c r="E196" s="29"/>
      <c r="F196" s="29"/>
      <c r="G196" s="3"/>
    </row>
    <row r="197" customFormat="false" ht="15" hidden="false" customHeight="false" outlineLevel="0" collapsed="false">
      <c r="A197" s="3"/>
      <c r="B197" s="3"/>
      <c r="C197" s="10" t="str">
        <f aca="false">IF(B197="","",CHOOSE(B197,"Rojo","Turquesa","Amarillo","Verde menta","Purpura","Salmon"))</f>
        <v/>
      </c>
      <c r="D197" s="3"/>
      <c r="E197" s="29"/>
      <c r="F197" s="29"/>
      <c r="G197" s="3"/>
    </row>
    <row r="198" customFormat="false" ht="15" hidden="false" customHeight="false" outlineLevel="0" collapsed="false">
      <c r="A198" s="3"/>
      <c r="B198" s="3"/>
      <c r="C198" s="10" t="str">
        <f aca="false">IF(B198="","",CHOOSE(B198,"Rojo","Turquesa","Amarillo","Verde menta","Purpura","Salmon"))</f>
        <v/>
      </c>
      <c r="D198" s="3"/>
      <c r="E198" s="29"/>
      <c r="F198" s="29"/>
      <c r="G198" s="3"/>
    </row>
    <row r="199" customFormat="false" ht="15" hidden="false" customHeight="false" outlineLevel="0" collapsed="false">
      <c r="A199" s="3"/>
      <c r="B199" s="3"/>
      <c r="C199" s="10" t="str">
        <f aca="false">IF(B199="","",CHOOSE(B199,"Rojo","Turquesa","Amarillo","Verde menta","Purpura","Salmon"))</f>
        <v/>
      </c>
      <c r="D199" s="3"/>
      <c r="E199" s="29"/>
      <c r="F199" s="29"/>
      <c r="G199" s="3"/>
    </row>
    <row r="200" customFormat="false" ht="15" hidden="false" customHeight="false" outlineLevel="0" collapsed="false">
      <c r="A200" s="3"/>
      <c r="B200" s="3"/>
      <c r="C200" s="10" t="str">
        <f aca="false">IF(B200="","",CHOOSE(B200,"Rojo","Turquesa","Amarillo","Verde menta","Purpura","Salmon"))</f>
        <v/>
      </c>
      <c r="D200" s="3"/>
      <c r="E200" s="29"/>
      <c r="F200" s="29"/>
      <c r="G200" s="3"/>
    </row>
    <row r="201" customFormat="false" ht="15" hidden="false" customHeight="false" outlineLevel="0" collapsed="false">
      <c r="A201" s="3"/>
      <c r="B201" s="3"/>
      <c r="C201" s="10" t="str">
        <f aca="false">IF(B201="","",CHOOSE(B201,"Rojo","Turquesa","Amarillo","Verde menta","Purpura","Salmon"))</f>
        <v/>
      </c>
      <c r="D201" s="3"/>
      <c r="E201" s="29"/>
      <c r="F201" s="29"/>
      <c r="G201" s="3"/>
    </row>
    <row r="202" customFormat="false" ht="15" hidden="false" customHeight="false" outlineLevel="0" collapsed="false">
      <c r="A202" s="3"/>
      <c r="B202" s="3"/>
      <c r="C202" s="10" t="str">
        <f aca="false">IF(B202="","",CHOOSE(B202,"Rojo","Turquesa","Amarillo","Verde menta","Purpura","Salmon"))</f>
        <v/>
      </c>
      <c r="D202" s="3"/>
      <c r="E202" s="29"/>
      <c r="F202" s="29"/>
      <c r="G20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2026-04-21T00:53:35Z</dcterms:created>
  <dc:creator>openpyxl</dc:creator>
  <dc:description/>
  <dc:language>en-US</dc:language>
  <cp:lastModifiedBy/>
  <dcterms:modified xsi:type="dcterms:W3CDTF">2026-04-21T00:53:36Z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